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16.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_rels/sheet4.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tables/table7.xml" ContentType="application/vnd.openxmlformats-officedocument.spreadsheetml.table+xml"/>
  <Override PartName="/xl/tables/table12.xml" ContentType="application/vnd.openxmlformats-officedocument.spreadsheetml.table+xml"/>
  <Override PartName="/xl/tables/table1.xml" ContentType="application/vnd.openxmlformats-officedocument.spreadsheetml.table+xml"/>
  <Override PartName="/xl/tables/table13.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 sheetId="1" state="visible" r:id="rId2"/>
    <sheet name="riskBugs" sheetId="2" state="visible" r:id="rId3"/>
    <sheet name="stkbar" sheetId="3" state="visible" r:id="rId4"/>
    <sheet name="c1raw" sheetId="4" state="visible" r:id="rId5"/>
    <sheet name="c1Uniq" sheetId="5" state="visible" r:id="rId6"/>
    <sheet name="c2raw" sheetId="6" state="visible" r:id="rId7"/>
    <sheet name="c2O" sheetId="7" state="visible" r:id="rId8"/>
    <sheet name="c2Uniq" sheetId="8" state="visible" r:id="rId9"/>
    <sheet name="c35raw" sheetId="9" state="visible" r:id="rId10"/>
    <sheet name="c3&amp;5Uniq" sheetId="10" state="visible" r:id="rId11"/>
    <sheet name="c4raw" sheetId="11" state="visible" r:id="rId12"/>
    <sheet name="c4O" sheetId="12" state="visible" r:id="rId13"/>
    <sheet name="c4Uniq" sheetId="13" state="visible" r:id="rId14"/>
    <sheet name="c6raw" sheetId="14" state="visible" r:id="rId15"/>
    <sheet name="c6Uniq" sheetId="15" state="visible" r:id="rId16"/>
    <sheet name="c7raw" sheetId="16" state="visible" r:id="rId17"/>
    <sheet name="c7Uniq" sheetId="17" state="visible" r:id="rId18"/>
  </sheets>
  <definedNames>
    <definedName function="false" hidden="true" localSheetId="11" name="_xlnm._FilterDatabase" vbProcedure="false">c4O!$A$1:$I$1</definedName>
    <definedName function="false" hidden="true" localSheetId="12" name="_xlnm._FilterDatabase" vbProcedure="false">c4Uniq!$A$1:$I$1</definedName>
    <definedName function="false" hidden="true" localSheetId="13" name="_xlnm._FilterDatabase" vbProcedure="false">c6raw!$A$1:$G$1</definedName>
    <definedName function="false" hidden="false" localSheetId="14" name="_xlnm._FilterDatabase" vbProcedure="false">c6Uniq!$A$1:$K$1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<sst xmlns="http://schemas.openxmlformats.org/spreadsheetml/2006/main" count="10738" uniqueCount="3377">
  <si>
    <t xml:space="preserve">correct cat</t>
  </si>
  <si>
    <t xml:space="preserve">SC</t>
  </si>
  <si>
    <t xml:space="preserve">unlock</t>
  </si>
  <si>
    <t xml:space="preserve">PoolTemplate.sol</t>
  </si>
  <si>
    <t xml:space="preserve">Incorrect comparison, typo</t>
  </si>
  <si>
    <t xml:space="preserve">H-02</t>
  </si>
  <si>
    <t xml:space="preserve">https://code4rena.com/reports/2022-01-insure/#h-02-typo-in-pooltemplate-unlock-function-results-in-user-being-able-to-unlock-multiple-times</t>
  </si>
  <si>
    <t xml:space="preserve">The line `insurances[_id].status == false;` seems to be a typo. It should probably be `insurances[_id].status = false;` since the current line is comparing the status to false but not actually changing it.</t>
  </si>
  <si>
    <t xml:space="preserve">S3</t>
  </si>
  <si>
    <t xml:space="preserve">registerTradeAndBorrow</t>
  </si>
  <si>
    <t xml:space="preserve">CrossMarginAccounts.sol</t>
  </si>
  <si>
    <t xml:space="preserve">Incorrect state update in registerTradeAndBorrow</t>
  </si>
  <si>
    <t xml:space="preserve">H-06</t>
  </si>
  <si>
    <t xml:space="preserve">https://code4rena.com/reports/2021-04-marginswap/#h-06-users-are-credited-more-tokens-when-paying-back-debt-with-registertradeandborrow</t>
  </si>
  <si>
    <t xml:space="preserve">The registerTradeAndBorrow function does not correctly update the account's holdings and borrowed states, leading to potential inconsistencies in the smart contract's states.</t>
  </si>
  <si>
    <t xml:space="preserve">_setKeyManagerOf</t>
  </si>
  <si>
    <t xml:space="preserve">MixinKeys.sol</t>
  </si>
  <si>
    <t xml:space="preserve">Duplicate entries in `owners` array</t>
  </si>
  <si>
    <t xml:space="preserve">L-24</t>
  </si>
  <si>
    <t xml:space="preserve">https://code4rena.com/reports/2021-11-unlock/#overview</t>
  </si>
  <si>
    <t xml:space="preserve">The _setKeyManagerOf function emits the KeyManagerChanged event with the new key manager address always set to address(0). This does not accurately reflect the new key manager's address and can cause confusion for any off-chain listeners monitoring the event.</t>
  </si>
  <si>
    <t xml:space="preserve">ID</t>
  </si>
  <si>
    <t xml:space="preserve"> Bug ID</t>
  </si>
  <si>
    <t xml:space="preserve">Bug Label</t>
  </si>
  <si>
    <t xml:space="preserve">Cat</t>
  </si>
  <si>
    <t xml:space="preserve"> Difficulty</t>
  </si>
  <si>
    <t xml:space="preserve">File Name</t>
  </si>
  <si>
    <t xml:space="preserve">Valid</t>
  </si>
  <si>
    <t xml:space="preserve">Bug Description</t>
  </si>
  <si>
    <t xml:space="preserve"> Reference</t>
  </si>
  <si>
    <t xml:space="preserve">Comment</t>
  </si>
  <si>
    <t xml:space="preserve"> H-02</t>
  </si>
  <si>
    <t xml:space="preserve">SE-4</t>
  </si>
  <si>
    <t xml:space="preserve">MarginRouter.sol</t>
  </si>
  <si>
    <t xml:space="preserve">native</t>
  </si>
  <si>
    <t xml:space="preserve">Missing fromToken != toToken check</t>
  </si>
  <si>
    <t xml:space="preserve"> https://code4rena.com/reports/2021-04-marginswap#h-02-missing-fromtoken--totoken-check</t>
  </si>
  <si>
    <t xml:space="preserve"> H-03</t>
  </si>
  <si>
    <t xml:space="preserve">S1-1</t>
  </si>
  <si>
    <t xml:space="preserve">PriceAware.sol</t>
  </si>
  <si>
    <t xml:space="preserve">Price feed can be manipulated</t>
  </si>
  <si>
    <t xml:space="preserve"> https://code4rena.com/reports/2021-04-marginswap#h-03-price-feed-can-be-manipulated</t>
  </si>
  <si>
    <t xml:space="preserve"> H-04</t>
  </si>
  <si>
    <t xml:space="preserve">S6-2</t>
  </si>
  <si>
    <t xml:space="preserve">Lending.sol BaseLending.sol HourlyBondSubscriptionLending.sol</t>
  </si>
  <si>
    <t xml:space="preserve">Inconsistent usage of applyInterest</t>
  </si>
  <si>
    <t xml:space="preserve"> https://code4rena.com/reports/2021-04-marginswap#h-04-inconsistent-usage-of-applyinterest</t>
  </si>
  <si>
    <t xml:space="preserve"> H-05</t>
  </si>
  <si>
    <t xml:space="preserve">S6-4</t>
  </si>
  <si>
    <t xml:space="preserve">Wrong liquidation logic</t>
  </si>
  <si>
    <t xml:space="preserve"> https://code4rena.com/reports/2021-04-marginswap#h-05-wrong-liquidation-logic</t>
  </si>
  <si>
    <t xml:space="preserve"> H-06</t>
  </si>
  <si>
    <t xml:space="preserve">CrossMarginAccounts.sol CrossMarginTrading.sol</t>
  </si>
  <si>
    <t xml:space="preserve">Users are credited more tokens when paying back debt with registerTradeAndBorrow</t>
  </si>
  <si>
    <t xml:space="preserve"> https://code4rena.com/reports/2021-04-marginswap#h-06-users-are-credited-more-tokens-when-paying-back-debt-with-registertradeandborrow</t>
  </si>
  <si>
    <t xml:space="preserve"> H-07</t>
  </si>
  <si>
    <t xml:space="preserve">S3-1</t>
  </si>
  <si>
    <t xml:space="preserve">account.holdsToken is never set</t>
  </si>
  <si>
    <t xml:space="preserve"> https://code4rena.com/reports/2021-04-marginswap#h-07-accountholdstoken-is-never-set</t>
  </si>
  <si>
    <t xml:space="preserve">Vader.sol</t>
  </si>
  <si>
    <t xml:space="preserve">Missing DAO functionality to call changeDAO() function in Vader.sol</t>
  </si>
  <si>
    <t xml:space="preserve"> https://code4rena.com/reports/2021-04-vader#h-03-missing-dao-functionality-to-call-changedao-function-in-vadersol</t>
  </si>
  <si>
    <t xml:space="preserve">DAO.sol</t>
  </si>
  <si>
    <t xml:space="preserve">Proposals can be cancelled</t>
  </si>
  <si>
    <t xml:space="preserve"> https://code4rena.com/reports/2021-04-vader#h-04-proposals-can-be-cancelled</t>
  </si>
  <si>
    <t xml:space="preserve">SE-2</t>
  </si>
  <si>
    <t xml:space="preserve">Flash loans can affect governance voting in DAO.sol</t>
  </si>
  <si>
    <t xml:space="preserve"> https://code4rena.com/reports/2021-04-vader#h-05-flash-loans-can-affect-governance-voting-in-daosol</t>
  </si>
  <si>
    <t xml:space="preserve">Utils.sol</t>
  </si>
  <si>
    <t xml:space="preserve">Wrong calcAsymmetricShare calculation</t>
  </si>
  <si>
    <t xml:space="preserve"> https://code4rena.com/reports/2021-04-vader#h-07-wrong-calcasymmetricshare-calculation</t>
  </si>
  <si>
    <t xml:space="preserve"> H-08</t>
  </si>
  <si>
    <t xml:space="preserve">Wrong liquidity units calculation</t>
  </si>
  <si>
    <t xml:space="preserve"> https://code4rena.com/reports/2021-04-vader#h-08-wrong-liquidity-units-calculation</t>
  </si>
  <si>
    <t xml:space="preserve"> H-10</t>
  </si>
  <si>
    <t xml:space="preserve">S5-3</t>
  </si>
  <si>
    <t xml:space="preserve">Router.sol</t>
  </si>
  <si>
    <t xml:space="preserve">too long</t>
  </si>
  <si>
    <t xml:space="preserve">Anyone can list anchors / curate tokens</t>
  </si>
  <si>
    <t xml:space="preserve"> https://code4rena.com/reports/2021-04-vader#h-10-anyone-can-list-anchors--curate-tokens</t>
  </si>
  <si>
    <t xml:space="preserve"> H-11</t>
  </si>
  <si>
    <t xml:space="preserve">S2-1</t>
  </si>
  <si>
    <t xml:space="preserve">Pools.sol</t>
  </si>
  <si>
    <t xml:space="preserve">Swap token can be traded as fake base token</t>
  </si>
  <si>
    <t xml:space="preserve"> https://code4rena.com/reports/2021-04-vader#h-11-swap-token-can-be-traded-as-fake-base-token</t>
  </si>
  <si>
    <t xml:space="preserve"> H-12</t>
  </si>
  <si>
    <t xml:space="preserve">getAddedAmount can return wrong results</t>
  </si>
  <si>
    <t xml:space="preserve"> https://code4rena.com/reports/2021-04-vader#h-12-getaddedamount-can-return-wrong-results</t>
  </si>
  <si>
    <t xml:space="preserve"> H-13</t>
  </si>
  <si>
    <t xml:space="preserve">4 Synths can be minted with fake base token</t>
  </si>
  <si>
    <t xml:space="preserve"> https://code4rena.com/reports/2021-04-vader#h-13-4-synths-can-be-minted-with-fake-base-token</t>
  </si>
  <si>
    <t xml:space="preserve"> H-14</t>
  </si>
  <si>
    <t xml:space="preserve">Router.sol Pools.sol</t>
  </si>
  <si>
    <t xml:space="preserve">Missing access restriction on lockUnits/unlockUnits</t>
  </si>
  <si>
    <t xml:space="preserve"> https://code4rena.com/reports/2021-04-vader#h-14-missing-access-restriction-on-lockunitsunlockunits</t>
  </si>
  <si>
    <t xml:space="preserve"> H-15</t>
  </si>
  <si>
    <t xml:space="preserve">S6-3</t>
  </si>
  <si>
    <t xml:space="preserve">Wrong slippage protection on Token -&gt; Token trades</t>
  </si>
  <si>
    <t xml:space="preserve"> https://code4rena.com/reports/2021-04-vader#h-15-wrong-slippage-protection-on-token---token-trades</t>
  </si>
  <si>
    <t xml:space="preserve"> H-17</t>
  </si>
  <si>
    <t xml:space="preserve">Transfer fee is burned on wrong accounts</t>
  </si>
  <si>
    <t xml:space="preserve"> https://code4rena.com/reports/2021-04-vader#h-17-transfer-fee-is-burned-on-wrong-accounts</t>
  </si>
  <si>
    <t xml:space="preserve"> H-18</t>
  </si>
  <si>
    <t xml:space="preserve">SE-1</t>
  </si>
  <si>
    <t xml:space="preserve">Vault.sol</t>
  </si>
  <si>
    <t xml:space="preserve">Vault rewards can be gamed</t>
  </si>
  <si>
    <t xml:space="preserve"> https://code4rena.com/reports/2021-04-vader#h-18--vault-rewards-can-be-gamed</t>
  </si>
  <si>
    <t xml:space="preserve"> H-20</t>
  </si>
  <si>
    <t xml:space="preserve">Vault Weight accounting is wrong for withdrawals</t>
  </si>
  <si>
    <t xml:space="preserve"> https://code4rena.com/reports/2021-04-vader#h-20-vault-weight-accounting-is-wrong-for-withdrawals</t>
  </si>
  <si>
    <t xml:space="preserve"> H-21</t>
  </si>
  <si>
    <t xml:space="preserve">Vether.sol</t>
  </si>
  <si>
    <t xml:space="preserve">Anyone Can Avoid All Vether Transfer Fees By Adding Their Address to the Vether ExcludedAddresses List.</t>
  </si>
  <si>
    <t xml:space="preserve"> https://code4rena.com/reports/2021-04-vader#h-21-anyone-can-avoid-all-vether-transfer-fees-by-adding-their-address-to-the-vether-excludedaddresses-list</t>
  </si>
  <si>
    <t xml:space="preserve"> H-23</t>
  </si>
  <si>
    <t xml:space="preserve">Anyone can curate pools and steal rewards</t>
  </si>
  <si>
    <t xml:space="preserve"> https://code4rena.com/reports/2021-04-vader#h-23-anyone-can-curate-pools-and-steal-rewards</t>
  </si>
  <si>
    <t xml:space="preserve">NFTXVaultUpgradeable.sol</t>
  </si>
  <si>
    <t xml:space="preserve">getRandomTokenIdFromFund yields wrong probabilities for ERC1155</t>
  </si>
  <si>
    <t xml:space="preserve"> https://code4rena.com/reports/2021-05-nftx#h-03-getrandomtokenidfromfund-yields-wrong-probabilities-for-erc1155</t>
  </si>
  <si>
    <t xml:space="preserve">NFTXLPStaking.sol</t>
  </si>
  <si>
    <t xml:space="preserve">NFTXLPStaking Is Subject To A Flash Loan Attack That Can Steal Nearly All Rewards/Fees That Have Accrued For A Particular Vault</t>
  </si>
  <si>
    <t xml:space="preserve"> https://code4rena.com/reports/2021-05-nftx#h-04-nftxlpstaking-is-subject-to-a-flash-loan-attack-that-can-steal-nearly-all-rewardsfees-that-have-accrued-for-a-particular-vault</t>
  </si>
  <si>
    <t xml:space="preserve"> H-01</t>
  </si>
  <si>
    <t xml:space="preserve">Visor.sol</t>
  </si>
  <si>
    <t xml:space="preserve">compact</t>
  </si>
  <si>
    <t xml:space="preserve">A previously timelocked NFT token becomes permanently stuck in vault if it’s ever moved back into the vault</t>
  </si>
  <si>
    <t xml:space="preserve"> https://code4rena.com/reports/2021-05-visorfinance#h-01-a-previously-timelocked-nft-token-becomes-permanently-stuck-in-vault-if-its-ever-moved-back-into-the-vault</t>
  </si>
  <si>
    <t xml:space="preserve">NFT transfer approvals are not removed and cannot be revoked thus leading to loss of NFT tokens</t>
  </si>
  <si>
    <t xml:space="preserve"> https://code4rena.com/reports/2021-05-visorfinance#h-02-nft-transfer-approvals-are-not-removed-and-cannot-be-revoked-thus-leading-to-loss-of-nft-tokens</t>
  </si>
  <si>
    <t xml:space="preserve">Approval for NFT transfers is not removed after transfer</t>
  </si>
  <si>
    <t xml:space="preserve"> https://code4rena.com/reports/2021-05-visorfinance#h-03-approval-for-nft-transfers-is-not-removed-after-transfer</t>
  </si>
  <si>
    <t xml:space="preserve">Cauldron.sol Ladle.sol</t>
  </si>
  <si>
    <t xml:space="preserve">Duplication of Balance</t>
  </si>
  <si>
    <t xml:space="preserve"> https://code4rena.com/reports/2021-05-yield#h-01-duplication-of-balance</t>
  </si>
  <si>
    <t xml:space="preserve">YieldMath.sol</t>
  </si>
  <si>
    <t xml:space="preserve">YieldMath.sol / Log2: &gt;= or &gt; ?</t>
  </si>
  <si>
    <t xml:space="preserve"> https://code4rena.com/reports/2021-05-yield#h-03-yieldmathsol--log2--or--</t>
  </si>
  <si>
    <t xml:space="preserve">RCMarket.sol</t>
  </si>
  <si>
    <t xml:space="preserve">Can access cards of other markets</t>
  </si>
  <si>
    <t xml:space="preserve"> https://code4rena.com/reports/2021-06-realitycards#h-02-can-access-cards-of-other-markets</t>
  </si>
  <si>
    <t xml:space="preserve">RCTreasury.sol RCMarket.sol</t>
  </si>
  <si>
    <t xml:space="preserve">anyone can call function sponsor</t>
  </si>
  <si>
    <t xml:space="preserve"> https://code4rena.com/reports/2021-06-realitycards#h-03-anyone-can-call-function-sponsor</t>
  </si>
  <si>
    <t xml:space="preserve">S5-1</t>
  </si>
  <si>
    <t xml:space="preserve">RCTreasury.sol</t>
  </si>
  <si>
    <t xml:space="preserve">Anyone can affect deposits of any user and turn the owner of the token</t>
  </si>
  <si>
    <t xml:space="preserve"> https://code4rena.com/reports/2021-06-realitycards#h-04-anyone-can-affect-deposits-of-any-user-and-turn-the-owner-of-the-token</t>
  </si>
  <si>
    <t xml:space="preserve">IdleYieldSource.sol</t>
  </si>
  <si>
    <t xml:space="preserve">User could lose underlying tokens when redeeming from the IdleYieldSource</t>
  </si>
  <si>
    <t xml:space="preserve"> https://code4rena.com/reports/2021-06-pooltogether#h-01-user-could-lose-underlying-tokens-when-redeeming-from-the-idleyieldsource</t>
  </si>
  <si>
    <t xml:space="preserve">BadgerYieldSource.sol</t>
  </si>
  <si>
    <t xml:space="preserve">BadgerYieldSource balanceOfToken share calculation seems wrong</t>
  </si>
  <si>
    <t xml:space="preserve"> https://code4rena.com/reports/2021-06-pooltogether#h-03-badgeryieldsource-balanceoftoken-share-calculation-seems-wrong</t>
  </si>
  <si>
    <t xml:space="preserve">S3-2</t>
  </si>
  <si>
    <t xml:space="preserve">PrizePool.sol</t>
  </si>
  <si>
    <t xml:space="preserve">withdraw timelock can be circumvented</t>
  </si>
  <si>
    <t xml:space="preserve"> https://code4rena.com/reports/2021-06-pooltogether#h-04-withdraw-timelock-can-be-circumvented</t>
  </si>
  <si>
    <t xml:space="preserve">S1-3</t>
  </si>
  <si>
    <t xml:space="preserve">Pricing.sol</t>
  </si>
  <si>
    <t xml:space="preserve">Wrong trading pricing calculations</t>
  </si>
  <si>
    <t xml:space="preserve"> https://code4rena.com/reports/2021-06-tracer#h-01-wrong-trading-pricing-calculations</t>
  </si>
  <si>
    <t xml:space="preserve">Use of incorrect index leads to incorrect updation of funding rates</t>
  </si>
  <si>
    <t xml:space="preserve"> https://code4rena.com/reports/2021-06-tracer#h-02-use-of-incorrect-index-leads-to-incorrect-updation-of-funding-rates</t>
  </si>
  <si>
    <t xml:space="preserve">TracerPerpetualSwaps.sol LibBalances.sol</t>
  </si>
  <si>
    <t xml:space="preserve">Logic error in fee subtraction</t>
  </si>
  <si>
    <t xml:space="preserve"> https://code4rena.com/reports/2021-06-tracer#h-04-logic-error-in-fee-subtraction</t>
  </si>
  <si>
    <t xml:space="preserve">Liquidation.sol</t>
  </si>
  <si>
    <t xml:space="preserve">Insurance slippage reimbursement can be used to steal insurance fund</t>
  </si>
  <si>
    <t xml:space="preserve"> https://code4rena.com/reports/2021-06-tracer#h-05-insurance-slippage-reimbursement-can-be-used-to-steal-insurance-fund</t>
  </si>
  <si>
    <t xml:space="preserve">GasOracle.sol</t>
  </si>
  <si>
    <t xml:space="preserve">Wrong price scale for GasOracle</t>
  </si>
  <si>
    <t xml:space="preserve"> https://code4rena.com/reports/2021-06-tracer#h-06-wrong-price-scale-for-gasoracle</t>
  </si>
  <si>
    <t xml:space="preserve">Buoy3Pool.sol</t>
  </si>
  <si>
    <t xml:space="preserve">Buoy3Pool.safetyCheck is not precise and has some assumptions</t>
  </si>
  <si>
    <t xml:space="preserve"> https://code4rena.com/reports/2021-06-gro#h-02-buoy3poolsafetycheck-is-not-precise-and-has-some-assumptions</t>
  </si>
  <si>
    <t xml:space="preserve">Controller.sol</t>
  </si>
  <si>
    <t xml:space="preserve">Incorrect use of operator leads to arbitrary minting of GVT tokens</t>
  </si>
  <si>
    <t xml:space="preserve"> https://code4rena.com/reports/2021-06-gro#h-03-incorrect-use-of-operator-leads-to-arbitrary-minting-of-gvt-tokens</t>
  </si>
  <si>
    <t xml:space="preserve">S6-1</t>
  </si>
  <si>
    <t xml:space="preserve">Too long</t>
  </si>
  <si>
    <t xml:space="preserve">Reward computation is wrong</t>
  </si>
  <si>
    <t xml:space="preserve"> https://code4rena.com/reports/2021-07-wildcredit#h-01-reward-computation-is-wrong</t>
  </si>
  <si>
    <t xml:space="preserve">LendingPair.sol</t>
  </si>
  <si>
    <t xml:space="preserve">LendingPair.liquidateAccount does not accrue and update cumulativeInterestRate</t>
  </si>
  <si>
    <t xml:space="preserve"> https://code4rena.com/reports/2021-07-wildcredit#h-02-lendingpairliquidateaccount-does-not-accrue-and-update-cumulativeinterestrate</t>
  </si>
  <si>
    <t xml:space="preserve">LendingPair.liquidateAccount fails if tokens are lent out</t>
  </si>
  <si>
    <t xml:space="preserve"> https://code4rena.com/reports/2021-07-wildcredit#h-03-lendingpairliquidateaccount-fails-if-tokens-are-lent-out</t>
  </si>
  <si>
    <t xml:space="preserve">TransactionManager.sol</t>
  </si>
  <si>
    <t xml:space="preserve">Anyone can arbitrarily add router liquidity</t>
  </si>
  <si>
    <t xml:space="preserve"> https://code4rena.com/reports/2021-07-connext-findings#h-01-anyone-can-arbitrarily-add-router-liquidity</t>
  </si>
  <si>
    <t xml:space="preserve">Router liquidity on receiving chain can be double-dipped by the user</t>
  </si>
  <si>
    <t xml:space="preserve"> https://code4rena.com/reports/2021-07-connext-findings#h-03-router-liquidity-on-receiving-chain-can-be-double-dipped-by-the-user</t>
  </si>
  <si>
    <t xml:space="preserve">Expired transfers will lock user funds on the sending chain</t>
  </si>
  <si>
    <t xml:space="preserve"> https://code4rena.com/reports/2021-07-connext-findings#h-04-expired-transfers-will-lock-user-funds-on-the-sending-chain</t>
  </si>
  <si>
    <t xml:space="preserve">Approval is not reset if the call to IFulfillHelper fails</t>
  </si>
  <si>
    <t xml:space="preserve"> https://code4rena.com/reports/2021-07-connext-findings#h-05-approval-is-not-reset-if-the-call-to-ifulfillhelper-fails</t>
  </si>
  <si>
    <t xml:space="preserve">Pool.sol Synth.sol</t>
  </si>
  <si>
    <t xml:space="preserve">Pool.sol &amp; Synth.sol: Failing Max Value Allowance</t>
  </si>
  <si>
    <t xml:space="preserve"> https://code4rena.com/reports/2021-07-spartan#h-02-poolsol--synthsol-failing-max-value-allowance</t>
  </si>
  <si>
    <t xml:space="preserve">Synth.sol</t>
  </si>
  <si>
    <t xml:space="preserve">Synth realise is vulnerable to flash loan attacks</t>
  </si>
  <si>
    <t xml:space="preserve"> https://code4rena.com/reports/2021-07-spartan#h-05-synth-realise-is-vulnerable-to-flash-loan-attacks</t>
  </si>
  <si>
    <t xml:space="preserve">synthVault.sol</t>
  </si>
  <si>
    <t xml:space="preserve">SynthVault rewards can be gamed</t>
  </si>
  <si>
    <t xml:space="preserve"> https://code4rena.com/reports/2021-07-spartan#h-06-synthvault-rewards-can-be-gamed</t>
  </si>
  <si>
    <t xml:space="preserve">S1-2</t>
  </si>
  <si>
    <t xml:space="preserve">Missing slippage checks</t>
  </si>
  <si>
    <t xml:space="preserve"> https://code4rena.com/reports/2021-07-spartan#h-07-missing-slippage-checks</t>
  </si>
  <si>
    <t xml:space="preserve">Dividend reward can be gamed</t>
  </si>
  <si>
    <t xml:space="preserve"> https://code4rena.com/reports/2021-07-spartan#h-08-dividend-reward-can-be-gamed</t>
  </si>
  <si>
    <t xml:space="preserve"> H-09</t>
  </si>
  <si>
    <t xml:space="preserve">S2-2</t>
  </si>
  <si>
    <t xml:space="preserve">arbitrary synth mint/burn from pool</t>
  </si>
  <si>
    <t xml:space="preserve"> https://code4rena.com/reports/2021-07-spartan#h-09-arbitrary-synth-mintburn-from-pool</t>
  </si>
  <si>
    <t xml:space="preserve">Misuse of AMM model on minting Synth (resubmit to add more detail)</t>
  </si>
  <si>
    <t xml:space="preserve"> https://code4rena.com/reports/2021-07-spartan#h-11-misuse-of-amm-model-on-minting-synth-resubmit-to-add-more-detail</t>
  </si>
  <si>
    <t xml:space="preserve">wrong calcLiquidityHoldings that leads to dead fund in the Pool</t>
  </si>
  <si>
    <t xml:space="preserve"> https://code4rena.com/reports/2021-07-spartan#h-12-wrong-calcliquidityholdings-that-leads-to-dead-fund-in-the-pool</t>
  </si>
  <si>
    <t xml:space="preserve">poolFactory.sol</t>
  </si>
  <si>
    <t xml:space="preserve">Flash loan manipulation on getPoolShareWeight of Utils</t>
  </si>
  <si>
    <t xml:space="preserve"> https://code4rena.com/reports/2021-07-spartan#h-13-flash-loan-manipulation-on-getpoolshareweight-of-utils</t>
  </si>
  <si>
    <t xml:space="preserve">PoolBase.sol</t>
  </si>
  <si>
    <t xml:space="preserve">A critical bug in bps function</t>
  </si>
  <si>
    <t xml:space="preserve"> https://code4rena.com/reports/2021-07-sherlock#h-02-bug-a-critical-bug-in-bps-function</t>
  </si>
  <si>
    <t xml:space="preserve">S2-3</t>
  </si>
  <si>
    <t xml:space="preserve">2 variables not indexed by marketIndex</t>
  </si>
  <si>
    <t xml:space="preserve"> https://code4rena.com/reports/2021-08-floatcapital#h-02-2-variables-not-indexed-by-marketindex</t>
  </si>
  <si>
    <t xml:space="preserve">SE-3</t>
  </si>
  <si>
    <t xml:space="preserve">Users could shift tokens on Staker with more than he has staked</t>
  </si>
  <si>
    <t xml:space="preserve"> https://code4rena.com/reports/2021-08-floatcapital#h-03-users-could-shift-tokens-on-staker-with-more-than-he-has-staked</t>
  </si>
  <si>
    <t xml:space="preserve">nTokenAction.sol</t>
  </si>
  <si>
    <t xml:space="preserve">Self transfer can lead to unlimited mint</t>
  </si>
  <si>
    <t xml:space="preserve"> https://code4rena.com/reports/2021-08-notional#h-01-self-transfer-can-lead-to-unlimited-mint</t>
  </si>
  <si>
    <t xml:space="preserve">CompoundToNotionalV2.sol</t>
  </si>
  <si>
    <t xml:space="preserve">Access restrictions on CompoundToNotionalV2.notionalCallback can be bypassed</t>
  </si>
  <si>
    <t xml:space="preserve"> https://code4rena.com/reports/2021-08-notional#h-04-access-restrictions-on-compoundtonotionalv2notionalcallback-can-be-bypassed</t>
  </si>
  <si>
    <t xml:space="preserve">NotionalV1ToNotionalV2.sol</t>
  </si>
  <si>
    <t xml:space="preserve">Access restrictions on NotionalV1ToNotionalV2.notionalCallback can be bypassed</t>
  </si>
  <si>
    <t xml:space="preserve"> https://code4rena.com/reports/2021-08-notional#h-05-access-restrictions-on-notionalv1tonotionalv2notionalcallback-can-be-bypassed</t>
  </si>
  <si>
    <t xml:space="preserve">AssetHandler.sol</t>
  </si>
  <si>
    <t xml:space="preserve">Liquidity token value can be manipulated</t>
  </si>
  <si>
    <t xml:space="preserve"> https://code4rena.com/reports/2021-08-notional#h-10-liquidity-token-value-can-be-manipulated</t>
  </si>
  <si>
    <t xml:space="preserve">SwappableYieldSource.sol</t>
  </si>
  <si>
    <t xml:space="preserve">setYieldSource leads to temporary wrong results</t>
  </si>
  <si>
    <t xml:space="preserve"> https://code4rena.com/reports/2021-07-pooltogether#h-03-setyieldsource-leads-to-temporary-wrong-results</t>
  </si>
  <si>
    <t xml:space="preserve">SwappableYieldSource: Missing same deposit token check in transferFunds()</t>
  </si>
  <si>
    <t xml:space="preserve"> https://code4rena.com/reports/2021-07-pooltogether#h-04-swappableyieldsource-missing-same-deposit-token-check-in-transferfunds</t>
  </si>
  <si>
    <t xml:space="preserve">CompoundMultiOracle.sol</t>
  </si>
  <si>
    <t xml:space="preserve">CompositeMultiOracle returns wrong decimals for prices?</t>
  </si>
  <si>
    <t xml:space="preserve"> https://code4rena.com/reports/2021-08-yield#h-01-compositemultioracle-returns-wrong-decimals-for-prices</t>
  </si>
  <si>
    <t xml:space="preserve">ERC20Rewards.sol</t>
  </si>
  <si>
    <t xml:space="preserve">ERC20Rewards returns wrong rewards if no tokens initially exist</t>
  </si>
  <si>
    <t xml:space="preserve"> https://code4rena.com/reports/2021-08-yield#h-02-erc20rewards-returns-wrong-rewards-if-no-tokens-initially-exist</t>
  </si>
  <si>
    <t xml:space="preserve">ERC20Rewards breaks when setting a different token</t>
  </si>
  <si>
    <t xml:space="preserve"> https://code4rena.com/reports/2021-08-yield#h-03-erc20rewards-breaks-when-setting-a-different-token</t>
  </si>
  <si>
    <t xml:space="preserve">CTokenMultiOracle.sol</t>
  </si>
  <si>
    <t xml:space="preserve">Exchange rates from Compound are assumed with 18 decimals</t>
  </si>
  <si>
    <t xml:space="preserve"> https://code4rena.com/reports/2021-08-yield#h-05-exchange-rates-from-compound-are-assumed-with-18-decimals</t>
  </si>
  <si>
    <t xml:space="preserve">RCOrderbook.sol</t>
  </si>
  <si>
    <t xml:space="preserve">findNewOwner edgecase</t>
  </si>
  <si>
    <t xml:space="preserve"> https://code4rena.com/reports/2021-08-realitycards#h-01-findnewowner-edgecase</t>
  </si>
  <si>
    <t xml:space="preserve">PostAuctionLauncher.sol</t>
  </si>
  <si>
    <t xml:space="preserve">PostAuctionLauncher.sol#finalize() Adding liquidity to an existing pool may allows the attacker to steal most of the tokens</t>
  </si>
  <si>
    <t xml:space="preserve"> https://code4rena.com/reports/2021-09-sushimiso#h-01-postauctionlaunchersolfinalize-adding-liquidity-to-an-existing-pool-may-allows-the-attacker-to-steal-most-of-the-tokens</t>
  </si>
  <si>
    <t xml:space="preserve">SushiToken.sol</t>
  </si>
  <si>
    <t xml:space="preserve">SushiToken transfers are broken due to wrong delegates accounting on transfers</t>
  </si>
  <si>
    <t xml:space="preserve"> https://code4rena.com/reports/2021-09-sushimiso#h-02-sushitoken-transfers-are-broken-due-to-wrong-delegates-accounting-on-transfers</t>
  </si>
  <si>
    <t xml:space="preserve">Crowdsale.sol</t>
  </si>
  <si>
    <t xml:space="preserve">Last person to withdraw his tokens might not be able to do this, in Crowdsale (edge case)</t>
  </si>
  <si>
    <t xml:space="preserve"> https://code4rena.com/reports/2021-09-sushimiso#h-03-last-person-to-withdraw-his-tokens-might-not-be-able-to-do-this-in-crowdsale-edge-case</t>
  </si>
  <si>
    <t xml:space="preserve">IndexPool.sol</t>
  </si>
  <si>
    <t xml:space="preserve">IndexPool’s INIT_POOL_SUPPLY is not fair.</t>
  </si>
  <si>
    <t xml:space="preserve"> https://code4rena.com/reports/2021-09-sushitrident#h-04-indexpools-init_pool_supply-is-not-fair</t>
  </si>
  <si>
    <t xml:space="preserve">HybridPool.sol</t>
  </si>
  <si>
    <t xml:space="preserve">hybrid pool uses wrong non_optimal_mint_fee</t>
  </si>
  <si>
    <t xml:space="preserve"> https://code4rena.com/reports/2021-09-sushitrident#h-05-hybrid-pool-uses-wrong-non_optimal_mint_fee</t>
  </si>
  <si>
    <t xml:space="preserve">IndexPool.mint The first liquidity provider is forced to supply assets in the same amount, which may cause a significant amount of fund loss</t>
  </si>
  <si>
    <t xml:space="preserve"> https://code4rena.com/reports/2021-09-sushitrident#h-07-indexpoolmint-the-first-liquidity-provider-is-forced-to-supply-assets-in-the-same-amount-which-may-cause-a-significant-amount-of-fund-loss</t>
  </si>
  <si>
    <t xml:space="preserve">HybridPool’s reserve is converted to “amount” twice</t>
  </si>
  <si>
    <t xml:space="preserve"> https://code4rena.com/reports/2021-09-sushitrident#h-08-hybridpools-reserve-is-converted-to-amount-twice</t>
  </si>
  <si>
    <t xml:space="preserve">ConstantProductPool.sol</t>
  </si>
  <si>
    <t xml:space="preserve">ConstantProductPool.burnSingle swap amount computations should use balance</t>
  </si>
  <si>
    <t xml:space="preserve"> https://code4rena.com/reports/2021-09-sushitrident#h-11-constantproductpoolburnsingle-swap-amount-computations-should-use-balance</t>
  </si>
  <si>
    <t xml:space="preserve">Incorrect usage of _pow in _computeSingleOutGivenPoolIn of IndexPool</t>
  </si>
  <si>
    <t xml:space="preserve"> https://code4rena.com/reports/2021-09-sushitrident#h-14-incorrect-usage-of-_pow-in-_computesingleoutgivenpoolin-of-indexpool</t>
  </si>
  <si>
    <t xml:space="preserve">Incorrect multiplication in _computeSingleOutGivenPoolIn of IndexPool</t>
  </si>
  <si>
    <t xml:space="preserve"> https://code4rena.com/reports/2021-09-sushitrident#h-15-incorrect-multiplication-in-_computesingleoutgivenpoolin-of-indexpool</t>
  </si>
  <si>
    <t xml:space="preserve">Controller.setCap sets wrong vault balance</t>
  </si>
  <si>
    <t xml:space="preserve"> https://code4rena.com/reports/2021-09-yaxis#h-01-controllersetcap-sets-wrong-vault-balance</t>
  </si>
  <si>
    <t xml:space="preserve">Controller does not raise an error when there’s insufficient liquidity</t>
  </si>
  <si>
    <t xml:space="preserve"> https://code4rena.com/reports/2021-09-yaxis#h-04-controller-does-not-raise-an-error-when-theres-insufficient-liquidity</t>
  </si>
  <si>
    <t xml:space="preserve">Vault.balance() mixes normalized and standard amounts</t>
  </si>
  <si>
    <t xml:space="preserve"> https://code4rena.com/reports/2021-09-yaxis#h-07-vaultbalance-mixes-normalized-and-standard-amounts</t>
  </si>
  <si>
    <t xml:space="preserve">Vault.withdraw mixes normalized and standard amounts</t>
  </si>
  <si>
    <t xml:space="preserve"> https://code4rena.com/reports/2021-09-yaxis#h-08-vaultwithdraw-mixes-normalized-and-standard-amounts</t>
  </si>
  <si>
    <t xml:space="preserve">veCVXStrategy.sol</t>
  </si>
  <si>
    <t xml:space="preserve">veCVXStrategy.manualRebalance has wrong logic</t>
  </si>
  <si>
    <t xml:space="preserve"> https://code4rena.com/reports/2021-09-bvecvx#h-01-vecvxstrategymanualrebalance-has-wrong-logic</t>
  </si>
  <si>
    <t xml:space="preserve">Use of tokenB’s price instead of tokenA in determining account health will lead to protocol mis-accounting and insolvency</t>
  </si>
  <si>
    <t xml:space="preserve"> https://code4rena.com/reports/2021-09-wildcredit#h-01-use-of-tokenbs-price-instead-of-tokena-in-determining-account-health-will-lead-to-protocol-mis-accounting-and-insolvency</t>
  </si>
  <si>
    <t xml:space="preserve">Liquidation can be escaped by depositing a Uni v3 position with 0 liquidity</t>
  </si>
  <si>
    <t xml:space="preserve"> https://code4rena.com/reports/2021-09-wildcredit#h-02-liquidation-can-be-escaped-by-depositing-a-uni-v3-position-with-0-liquidity</t>
  </si>
  <si>
    <t xml:space="preserve">DrawCalculator.sol</t>
  </si>
  <si>
    <t xml:space="preserve">The formula of number of prizes for a degree is wrong</t>
  </si>
  <si>
    <t xml:space="preserve"> https://code4rena.com/reports/2021-10-pooltogether#h-01-the-formula-of-number-of-prizes-for-a-degree-is-wrong</t>
  </si>
  <si>
    <t xml:space="preserve">ConcentratedLiquidityPoolManager.sol</t>
  </si>
  <si>
    <t xml:space="preserve">Wrong usage of positionId in ConcentratedLiquidityPoolManager</t>
  </si>
  <si>
    <t xml:space="preserve"> https://code4rena.com/reports/2021-09-sushitrident-2#h-02-wrong-usage-of-positionid-in-concentratedliquiditypoolmanager</t>
  </si>
  <si>
    <t xml:space="preserve">ConcentratedLiquidityPoolManager’s incentives can be stolen</t>
  </si>
  <si>
    <t xml:space="preserve"> https://code4rena.com/reports/2021-09-sushitrident-2#h-03-concentratedliquiditypoolmanagers-incentives-can-be-stolen</t>
  </si>
  <si>
    <t xml:space="preserve">ConcentratedLiquidityPosition.sol</t>
  </si>
  <si>
    <t xml:space="preserve">ConcentratedLiquidityPosition.sol#collect() Users may get double the amount of yield when they call collect() before burn()</t>
  </si>
  <si>
    <t xml:space="preserve"> https://code4rena.com/reports/2021-09-sushitrident-2#h-06-concentratedliquiditypositionsolcollect-users-may-get-double-the-amount-of-yield-when-they-call-collect-before-burn</t>
  </si>
  <si>
    <t xml:space="preserve">ConcentratedLiquidityPosition.sol#burn() Wrong implementation allows attackers to steal yield</t>
  </si>
  <si>
    <t xml:space="preserve"> https://code4rena.com/reports/2021-09-sushitrident-2#h-07-concentratedliquiditypositionsolburn-wrong-implementation-allows-attackers-to-steal-yield</t>
  </si>
  <si>
    <t xml:space="preserve">ConcentratedLiquidityPool.sol</t>
  </si>
  <si>
    <t xml:space="preserve">Wrong inequality when adding/removing liquidity in current price range</t>
  </si>
  <si>
    <t xml:space="preserve"> https://code4rena.com/reports/2021-09-sushitrident-2#h-08-wrong-inequality-when-addingremoving-liquidity-in-current-price-range</t>
  </si>
  <si>
    <t xml:space="preserve">ConcentratedLiquidityPool.burn() Wrong implementation</t>
  </si>
  <si>
    <t xml:space="preserve"> https://code4rena.com/reports/2021-09-sushitrident-2#h-10-concentratedliquiditypoolburn-wrong-implementation</t>
  </si>
  <si>
    <t xml:space="preserve">ConcentratedLiquidityPool: incorrect feeGrowthGlobal accounting when crossing ticks</t>
  </si>
  <si>
    <t xml:space="preserve"> https://code4rena.com/reports/2021-09-sushitrident-2#h-11-concentratedliquiditypool-incorrect-feegrowthglobal-accounting-when-crossing-ticks</t>
  </si>
  <si>
    <t xml:space="preserve">ConcentratedLiquidityPool: secondsPerLiquidity should be modified whenever pool liquidity changes</t>
  </si>
  <si>
    <t xml:space="preserve"> https://code4rena.com/reports/2021-09-sushitrident-2#h-12-concentratedliquiditypool-secondsperliquidity-should-be-modified-whenever-pool-liquidity-changes</t>
  </si>
  <si>
    <t xml:space="preserve">ConcentratedLiquidityPoolManager.sol ConcentratedLiquidityPosition.sol Ticks.sol</t>
  </si>
  <si>
    <t xml:space="preserve">Understanding the fee growth mechanism (why nearestTick is unsuitable)</t>
  </si>
  <si>
    <t xml:space="preserve"> https://code4rena.com/reports/2021-09-sushitrident-2#h-17-understanding-the-fee-growth-mechanism-why-nearesttick-is-unsuitable</t>
  </si>
  <si>
    <t xml:space="preserve">good learning material</t>
  </si>
  <si>
    <t xml:space="preserve">Basket.sol</t>
  </si>
  <si>
    <t xml:space="preserve">Basket.sol#auctionBurn() A failed auction will freeze part of the funds</t>
  </si>
  <si>
    <t xml:space="preserve"> https://code4rena.com/reports/2021-09-defiprotocol#h-02-basketsolauctionburn-a-failed-auction-will-freeze-part-of-the-funds</t>
  </si>
  <si>
    <t xml:space="preserve">TempusController.sol</t>
  </si>
  <si>
    <t xml:space="preserve">Steal tokens from TempusController</t>
  </si>
  <si>
    <t xml:space="preserve"> https://code4rena.com/reports/2021-10-tempus#h-01-steal-tokens-from-tempuscontroller</t>
  </si>
  <si>
    <t xml:space="preserve">QuickAccManager.sol</t>
  </si>
  <si>
    <t xml:space="preserve">QuickAccManager.sol#cancel() Wrong hashTx makes it impossible to cancel a scheduled transaction</t>
  </si>
  <si>
    <t xml:space="preserve"> https://code4rena.com/reports/2021-10-ambire#h-02-quickaccmanagersolcancel-wrong-hashtx-makes-it-impossible-to-cancel-a-scheduled-transaction</t>
  </si>
  <si>
    <t xml:space="preserve">Signature replay attacks for different identities (nonce on wrong party)</t>
  </si>
  <si>
    <t xml:space="preserve"> https://code4rena.com/reports/2021-10-ambire#h-03-signature-replay-attacks-for-different-identities-nonce-on-wrong-party</t>
  </si>
  <si>
    <t xml:space="preserve">QuickAccManager Smart Contract signature verification can be exploited</t>
  </si>
  <si>
    <t xml:space="preserve"> https://code4rena.com/reports/2021-10-ambire#h-04-quickaccmanager-smart-contract-signature-verification-can-be-exploited</t>
  </si>
  <si>
    <t xml:space="preserve">Swivel.sol</t>
  </si>
  <si>
    <t xml:space="preserve">Swivel: Taker is charged fees twice in exitVaultFillingVaultInitiate</t>
  </si>
  <si>
    <t xml:space="preserve"> https://code4rena.com/reports/2021-09-swivel#h-02-swivel-taker-is-charged-fees-twice-in-exitvaultfillingvaultinitiate</t>
  </si>
  <si>
    <t xml:space="preserve">VaultTracker.sol</t>
  </si>
  <si>
    <t xml:space="preserve">transferNotionalFrom doesn’t check from != to</t>
  </si>
  <si>
    <t xml:space="preserve"> https://code4rena.com/reports/2021-09-swivel#h-03-transfernotionalfrom-doesnt-check-from--to</t>
  </si>
  <si>
    <t xml:space="preserve">Auction.sol Basket.sol</t>
  </si>
  <si>
    <t xml:space="preserve">Bonding mechanism allows malicious user to DOS auctions</t>
  </si>
  <si>
    <t xml:space="preserve"> https://code4rena.com/reports/2021-10-defiprotocol#h-01-bonding-mechanism-allows-malicious-user-to-dos-auctions</t>
  </si>
  <si>
    <t xml:space="preserve">MochiVault.sol</t>
  </si>
  <si>
    <t xml:space="preserve">Vault fails to track debt correctly that leads to bad debt</t>
  </si>
  <si>
    <t xml:space="preserve"> https://code4rena.com/reports/2021-10-mochi#h-01-vault-fails-to-track-debt-correctly-that-leads-to-bad-debt</t>
  </si>
  <si>
    <t xml:space="preserve">FeePoolV0.sol</t>
  </si>
  <si>
    <t xml:space="preserve">FeePoolV0.sol#distributeMochi() will unexpectedly flush treasuryShare, causing the protocol fee cannot be properly accounted for and collected</t>
  </si>
  <si>
    <t xml:space="preserve"> https://code4rena.com/reports/2021-10-mochi#h-02-feepoolv0soldistributemochi-will-unexpectedly-flush-treasuryshare-causing-the-protocol-fee-cannot-be-properly-accounted-for-and-collected</t>
  </si>
  <si>
    <t xml:space="preserve">MochiProfileV0.sol</t>
  </si>
  <si>
    <t xml:space="preserve">registerAsset() can overwrite _assetClass value</t>
  </si>
  <si>
    <t xml:space="preserve"> https://code4rena.com/reports/2021-10-mochi#h-04-registerasset-can-overwrite-_assetclass-value</t>
  </si>
  <si>
    <t xml:space="preserve">debts calculation is not accurate</t>
  </si>
  <si>
    <t xml:space="preserve"> https://code4rena.com/reports/2021-10-mochi#h-05-debts-calculation-is-not-accurate</t>
  </si>
  <si>
    <t xml:space="preserve">ReferralFeePoolV0.sol</t>
  </si>
  <si>
    <t xml:space="preserve">Referrer can drain ReferralFeePoolV0</t>
  </si>
  <si>
    <t xml:space="preserve"> https://code4rena.com/reports/2021-10-mochi#h-06-referrer-can-drain-referralfeepoolv0</t>
  </si>
  <si>
    <t xml:space="preserve">Anyone can extend withdraw wait period by depositing zero collateral</t>
  </si>
  <si>
    <t xml:space="preserve"> https://code4rena.com/reports/2021-10-mochi#h-08-anyone-can-extend-withdraw-wait-period-by-depositing-zero-collateral</t>
  </si>
  <si>
    <t xml:space="preserve">MochiTreasuryV0.sol</t>
  </si>
  <si>
    <t xml:space="preserve">treasury is vulnerable to sandwich attack</t>
  </si>
  <si>
    <t xml:space="preserve"> https://code4rena.com/reports/2021-10-mochi#h-09-treasury-is-vulnerable-to-sandwich-attack</t>
  </si>
  <si>
    <t xml:space="preserve">MochiEngine.sol</t>
  </si>
  <si>
    <t xml:space="preserve">Changing NFT contract in the MochiEngine would break the protocol</t>
  </si>
  <si>
    <t xml:space="preserve"> https://code4rena.com/reports/2021-10-mochi#h-10-changing-nft-contract-in-the-mochiengine-would-break-the-protocol</t>
  </si>
  <si>
    <t xml:space="preserve">treasuryShare is Overwritten in FeePoolV0._shareMochi()</t>
  </si>
  <si>
    <t xml:space="preserve"> https://code4rena.com/reports/2021-10-mochi#h-11-treasuryshare-is-overwritten-in-feepoolv0_sharemochi</t>
  </si>
  <si>
    <t xml:space="preserve">feePool is vulnerable to sandwich attack.</t>
  </si>
  <si>
    <t xml:space="preserve"> https://code4rena.com/reports/2021-10-mochi#h-12-feepool-is-vulnerable-to-sandwich-attack</t>
  </si>
  <si>
    <t xml:space="preserve">S4-1</t>
  </si>
  <si>
    <t xml:space="preserve">VestedRewardPool.sol</t>
  </si>
  <si>
    <t xml:space="preserve">Tokens Can Be Stolen By Frontrunning VestedRewardPool.vest() and VestedRewardPool.lock()</t>
  </si>
  <si>
    <t xml:space="preserve"> https://code4rena.com/reports/2021-10-mochi#h-13-tokens-can-be-stolen-by-frontrunning-vestedrewardpoolvest-and-vestedrewardpoollock</t>
  </si>
  <si>
    <t xml:space="preserve">unstake should update exchange rates first</t>
  </si>
  <si>
    <t xml:space="preserve"> https://code4rena.com/reports/2021-10-covalent#h-02-unstake-should-update-exchange-rates-first</t>
  </si>
  <si>
    <t xml:space="preserve">Swap.sol</t>
  </si>
  <si>
    <t xml:space="preserve">Wrong calculation of erc20Delta and ethDelta</t>
  </si>
  <si>
    <t xml:space="preserve"> https://code4rena.com/reports/2021-10-tally#h-02-wrong-calculation-of-erc20delta-and-ethdelta</t>
  </si>
  <si>
    <t xml:space="preserve">UToken.sol</t>
  </si>
  <si>
    <t xml:space="preserve">borrow must accrueInterest first</t>
  </si>
  <si>
    <t xml:space="preserve"> https://code4rena.com/reports/2021-10-union#h-01-borrow-must-accrueinterest-first</t>
  </si>
  <si>
    <t xml:space="preserve">CreditLimitByMedian.sol</t>
  </si>
  <si>
    <t xml:space="preserve">Wrong implementation of CreditLimitByMedian.sol#getLockedAmount() makes it unable to unlock lockedAmount in CreditLimitByMedian model</t>
  </si>
  <si>
    <t xml:space="preserve"> https://code4rena.com/reports/2021-10-union#h-02-wrong-implementation-of-creditlimitbymediansolgetlockedamount-makes-it-unable-to-unlock-lockedamount-in-creditlimitbymedian-model</t>
  </si>
  <si>
    <t xml:space="preserve">WrappedIbbtc.sol WrappedIbbtcEth.sol</t>
  </si>
  <si>
    <t xml:space="preserve">The design of wibBTC is not fully compatible with the current Curve StableSwap pool</t>
  </si>
  <si>
    <t xml:space="preserve"> https://code4rena.com/reports/2021-10-badgerdao#h-01-the-design-of-wibbtc-is-not-fully-compatible-with-the-current-curve-stableswap-pool</t>
  </si>
  <si>
    <t xml:space="preserve">Approved spender can spend too many tokens</t>
  </si>
  <si>
    <t xml:space="preserve"> https://code4rena.com/reports/2021-10-badgerdao#h-02-approved-spender-can-spend-too-many-tokens</t>
  </si>
  <si>
    <t xml:space="preserve">WrappedIbbtcEth.sol</t>
  </si>
  <si>
    <t xml:space="preserve">WrappedIbbtcEth contract will use stalled price for mint/burn if updatePricePerShare wasn’t run properly</t>
  </si>
  <si>
    <t xml:space="preserve"> https://code4rena.com/reports/2021-10-badgerdao#h-03-wrappedibbtceth-contract-will-use-stalled-price-for-mintburn-if-updatepricepershare-wasnt-run-properly</t>
  </si>
  <si>
    <t xml:space="preserve">WrappedIbbtc and WrappedIbbtcEth contracts do not filter out price feed outliers</t>
  </si>
  <si>
    <t xml:space="preserve"> https://code4rena.com/reports/2021-10-badgerdao#h-04-wrappedibbtc-and-wrappedibbtceth-contracts-do-not-filter-out-price-feed-outliers</t>
  </si>
  <si>
    <t xml:space="preserve">OverlayV1UniswapV3Market.sol</t>
  </si>
  <si>
    <t xml:space="preserve">OverlayV1UniswapV3Market computes wrong market liquidity</t>
  </si>
  <si>
    <t xml:space="preserve"> https://code4rena.com/reports/2021-11-overlay#h-01-overlayv1uniswapv3market-computes-wrong-market-liquidity</t>
  </si>
  <si>
    <t xml:space="preserve">SwapUtils.sol</t>
  </si>
  <si>
    <t xml:space="preserve">Can not update target price</t>
  </si>
  <si>
    <t xml:space="preserve"> https://code4rena.com/reports/2021-11-bootfinance#h-02-can-not-update-target-price</t>
  </si>
  <si>
    <t xml:space="preserve">SwapUtils.sol Wrong implementation</t>
  </si>
  <si>
    <t xml:space="preserve"> https://code4rena.com/reports/2021-11-bootfinance#h-03-swaputilssol-wrong-implementation</t>
  </si>
  <si>
    <t xml:space="preserve">Swaps are not split when trade crosses target price</t>
  </si>
  <si>
    <t xml:space="preserve"> https://code4rena.com/reports/2021-11-bootfinance#h-04-swaps-are-not-split-when-trade-crosses-target-price</t>
  </si>
  <si>
    <t xml:space="preserve">AirdropDistribution.sol</t>
  </si>
  <si>
    <t xml:space="preserve">Claim airdrop repeatedly</t>
  </si>
  <si>
    <t xml:space="preserve"> https://code4rena.com/reports/2021-11-bootfinance#h-05-claim-airdrop-repeatedly</t>
  </si>
  <si>
    <t xml:space="preserve">Ideal balance is not calculated correctly when providing imbalanced liquidity</t>
  </si>
  <si>
    <t xml:space="preserve"> https://code4rena.com/reports/2021-11-bootfinance#h-06-ideal-balance-is-not-calculated-correctly-when-providing-imbalanced-liquidity</t>
  </si>
  <si>
    <t xml:space="preserve">Vesting.sol</t>
  </si>
  <si>
    <t xml:space="preserve">Unable to claim vesting due to unbounded timelock loop</t>
  </si>
  <si>
    <t xml:space="preserve"> https://code4rena.com/reports/2021-11-bootfinance#h-08-unable-to-claim-vesting-due-to-unbounded-timelock-loop</t>
  </si>
  <si>
    <t xml:space="preserve">VaderPoolV2.sol</t>
  </si>
  <si>
    <t xml:space="preserve">Minting and burning synths exposes users to unlimited slippage</t>
  </si>
  <si>
    <t xml:space="preserve"> https://code4rena.com/reports/2021-11-vader#h-01-minting-and-burning-synths-exposes-users-to-unlimited-slippage</t>
  </si>
  <si>
    <t xml:space="preserve">Redemption value of synths can be manipulated to drain VaderPool of all native assets</t>
  </si>
  <si>
    <t xml:space="preserve"> https://code4rena.com/reports/2021-11-vader#h-02-redemption-value-of-synths-can-be-manipulated-to-drain-vaderpool-of-all-native-assets</t>
  </si>
  <si>
    <t xml:space="preserve">XVader.sol</t>
  </si>
  <si>
    <t xml:space="preserve">VADER contains a Fee-On-Transfer</t>
  </si>
  <si>
    <t xml:space="preserve"> https://code4rena.com/reports/2021-11-vader#h-03-vader-contains-a-fee-on-transfer</t>
  </si>
  <si>
    <t xml:space="preserve">TwapOracle.sol</t>
  </si>
  <si>
    <t xml:space="preserve">TwapOracle doesn’t calculate VADER:USDV exchange rate correctly</t>
  </si>
  <si>
    <t xml:space="preserve"> https://code4rena.com/reports/2021-11-vader#h-04-twaporacle-doesnt-calculate-vaderusdv-exchange-rate-correctly</t>
  </si>
  <si>
    <t xml:space="preserve">LPs of VaderPoolV2 can manipulate pool reserves to extract funds from the reserve.</t>
  </si>
  <si>
    <t xml:space="preserve"> https://code4rena.com/reports/2021-11-vader#h-05-lps-of-vaderpoolv2-can-manipulate-pool-reserves-to-extract-funds-from-the-reserve</t>
  </si>
  <si>
    <t xml:space="preserve">VaderReserve.sol</t>
  </si>
  <si>
    <t xml:space="preserve">VaderReserve does not support paying IL protection out to more than one address, resulting in locked funds</t>
  </si>
  <si>
    <t xml:space="preserve"> https://code4rena.com/reports/2021-11-vader#h-07-vaderreserve-does-not-support-paying-il-protection-out-to-more-than-one-address-resulting-in-locked-funds</t>
  </si>
  <si>
    <t xml:space="preserve">VaderPoolV2 incorrectly calculates the amount of IL protection to send to LPs</t>
  </si>
  <si>
    <t xml:space="preserve"> https://code4rena.com/reports/2021-11-vader#h-09-vaderpoolv2-incorrectly-calculates-the-amount-of-il-protection-to-send-to-lps</t>
  </si>
  <si>
    <t xml:space="preserve">VaderMath.sol</t>
  </si>
  <si>
    <t xml:space="preserve">calculate Loss is vulnerable to flashloan attack</t>
  </si>
  <si>
    <t xml:space="preserve"> https://code4rena.com/reports/2021-11-vader#h-10--calculate-loss-is-vulnerable-to-flashloan-attack</t>
  </si>
  <si>
    <t xml:space="preserve">BasePool.sol</t>
  </si>
  <si>
    <t xml:space="preserve">(dex-v1) BasePool.mint() function can be frontrun</t>
  </si>
  <si>
    <t xml:space="preserve"> https://code4rena.com/reports/2021-11-vader#h-11-dex-v1-basepoolmint-function-can-be-frontrun</t>
  </si>
  <si>
    <t xml:space="preserve">Anyone Can Arbitrarily Mint Synthetic Assets In VaderPoolV2.mintSynth()</t>
  </si>
  <si>
    <t xml:space="preserve"> https://code4rena.com/reports/2021-11-vader#h-13-anyone-can-arbitrarily-mint-synthetic-assets-in-vaderpoolv2mintsynth</t>
  </si>
  <si>
    <t xml:space="preserve">Anyone Can Arbitrarily Mint Fungible Tokens In VaderPoolV2.mintFungible()</t>
  </si>
  <si>
    <t xml:space="preserve"> https://code4rena.com/reports/2021-11-vader#h-14-anyone-can-arbitrarily-mint-fungible-tokens-in-vaderpoolv2mintfungible</t>
  </si>
  <si>
    <t xml:space="preserve">VaderRouter.sol</t>
  </si>
  <si>
    <t xml:space="preserve">VaderRouter._swap performs wrong swap</t>
  </si>
  <si>
    <t xml:space="preserve"> https://code4rena.com/reports/2021-11-vader#h-15-vaderrouter_swap-performs-wrong-swap</t>
  </si>
  <si>
    <t xml:space="preserve"> H-16</t>
  </si>
  <si>
    <t xml:space="preserve">VaderRouter.calculateOutGivenIn calculates wrong swap</t>
  </si>
  <si>
    <t xml:space="preserve"> https://code4rena.com/reports/2021-11-vader#h-16-vaderroutercalculateoutgivenin-calculates-wrong-swap</t>
  </si>
  <si>
    <t xml:space="preserve">VaderRouterV2.sol</t>
  </si>
  <si>
    <t xml:space="preserve">Attacker can claim more IL by manipulating pool price then removeLiquidity</t>
  </si>
  <si>
    <t xml:space="preserve"> https://code4rena.com/reports/2021-11-vader#h-18-attacker-can-claim-more-il-by-manipulating-pool-price-then-removeliquidity-</t>
  </si>
  <si>
    <t xml:space="preserve"> H-19</t>
  </si>
  <si>
    <t xml:space="preserve">GovernorAlpha.sol</t>
  </si>
  <si>
    <t xml:space="preserve">Governance veto can be bypassed</t>
  </si>
  <si>
    <t xml:space="preserve"> https://code4rena.com/reports/2021-11-vader#h-19-governance-veto-can-be-bypassed</t>
  </si>
  <si>
    <t xml:space="preserve">Lack of access control allow attacker to mintFungible() and mintSynth() with other user’s wallet balance</t>
  </si>
  <si>
    <t xml:space="preserve"> https://code4rena.com/reports/2021-11-vader#h-21-lack-of-access-control-allow-attacker-to-mintfungible-and-mintsynth-with-other-users-wallet-balance</t>
  </si>
  <si>
    <t xml:space="preserve"> H-22</t>
  </si>
  <si>
    <t xml:space="preserve">mintSynth() and burnSynth() can be front run</t>
  </si>
  <si>
    <t xml:space="preserve"> https://code4rena.com/reports/2021-11-vader#h-22-mintsynth-and-burnsynth-can-be-front-run</t>
  </si>
  <si>
    <t xml:space="preserve">BasePoolV2.sol</t>
  </si>
  <si>
    <t xml:space="preserve">Synth tokens can get over-minted</t>
  </si>
  <si>
    <t xml:space="preserve"> https://code4rena.com/reports/2021-11-vader#h-23-synth-tokens-can-get-over-minted</t>
  </si>
  <si>
    <t xml:space="preserve"> H-24</t>
  </si>
  <si>
    <t xml:space="preserve">Wrong design/implementation of addLiquidity() allows attacker to steal funds from the liquidity pool</t>
  </si>
  <si>
    <t xml:space="preserve"> https://code4rena.com/reports/2021-11-vader#h-24-wrong-designimplementation-of-addliquidity-allows-attacker-to-steal-funds-from-the-liquidity-pool</t>
  </si>
  <si>
    <t xml:space="preserve"> H-25</t>
  </si>
  <si>
    <t xml:space="preserve">Wrong design of swap() results in unexpected and unfavorable outputs</t>
  </si>
  <si>
    <t xml:space="preserve"> https://code4rena.com/reports/2021-11-vader#h-25-wrong-design-of-swap-results-in-unexpected-and-unfavorable-outputs</t>
  </si>
  <si>
    <t xml:space="preserve"> H-26</t>
  </si>
  <si>
    <t xml:space="preserve">All user assets which are approved to VaderPoolV2 may be stolen</t>
  </si>
  <si>
    <t xml:space="preserve"> https://code4rena.com/reports/2021-11-vader#h-26-all-user-assets-which-are-approved-to-vaderpoolv2-may-be-stolen</t>
  </si>
  <si>
    <t xml:space="preserve"> H-27</t>
  </si>
  <si>
    <t xml:space="preserve">LinearVesting.sol</t>
  </si>
  <si>
    <t xml:space="preserve">Unrestricted vestFor</t>
  </si>
  <si>
    <t xml:space="preserve"> https://code4rena.com/reports/2021-11-vader#h-27-unrestricted-vestfor</t>
  </si>
  <si>
    <t xml:space="preserve"> H-28</t>
  </si>
  <si>
    <t xml:space="preserve">Incorrect Price Consultation Results</t>
  </si>
  <si>
    <t xml:space="preserve"> https://code4rena.com/reports/2021-11-vader#h-28-incorrect-price-consultation-results</t>
  </si>
  <si>
    <t xml:space="preserve"> H-29</t>
  </si>
  <si>
    <t xml:space="preserve">VaderPoolV2.mintFungible exposes users to unlimited slippage</t>
  </si>
  <si>
    <t xml:space="preserve"> https://code4rena.com/reports/2021-11-vader#h-29-vaderpoolv2mintfungible-exposes-users-to-unlimited-slippage</t>
  </si>
  <si>
    <t xml:space="preserve"> H-30</t>
  </si>
  <si>
    <t xml:space="preserve">Newly Registered Assets Skew Consultation Results</t>
  </si>
  <si>
    <t xml:space="preserve"> https://code4rena.com/reports/2021-11-vader#h-30-newly-registered-assets-skew-consultation-results</t>
  </si>
  <si>
    <t xml:space="preserve"> H-31</t>
  </si>
  <si>
    <t xml:space="preserve">Unused slippage params</t>
  </si>
  <si>
    <t xml:space="preserve"> https://code4rena.com/reports/2021-11-vader#h-31-unused-slippage-params</t>
  </si>
  <si>
    <t xml:space="preserve"> H-32</t>
  </si>
  <si>
    <t xml:space="preserve">VaderRouterV2.sol BasePoolV2.sol VaderPoolV2.sol</t>
  </si>
  <si>
    <t xml:space="preserve">Covering impermanent loss allows profiting off asymmetric liquidity provision at expense of reserve holdings</t>
  </si>
  <si>
    <t xml:space="preserve"> https://code4rena.com/reports/2021-11-vader#h-32-covering-impermanent-loss-allows-profiting-off-asymmetric-liquidity-provision-at-expense-of-reserve-holdings</t>
  </si>
  <si>
    <t xml:space="preserve"> H-34</t>
  </si>
  <si>
    <t xml:space="preserve">BasePoolV2.sol VaderPoolV2.sol</t>
  </si>
  <si>
    <t xml:space="preserve">Incorrect Accrual Of sumNative and sumUSD In Producing Consultation Results</t>
  </si>
  <si>
    <t xml:space="preserve"> https://code4rena.com/reports/2021-11-vader#h-34-incorrect-accrual-of-sumnative-and-sumusd-in-producing-consultation-results-</t>
  </si>
  <si>
    <t xml:space="preserve">NestedFactory.sol FeeSplitter.sol NestedAsset.sol</t>
  </si>
  <si>
    <t xml:space="preserve">Copy your own portfolio to keep earning royalties</t>
  </si>
  <si>
    <t xml:space="preserve"> https://code4rena.com/reports/2021-11-nested#h-01-copy-your-own-portfolio-to-keep-earning-royalties-</t>
  </si>
  <si>
    <t xml:space="preserve">Unlock.sol</t>
  </si>
  <si>
    <t xml:space="preserve">MEV miner can mint larger than expected UDT total supply</t>
  </si>
  <si>
    <t xml:space="preserve"> https://code4rena.com/reports/2021-11-unlock#h-01-mev-miner-can-mint-larger-than-expected-udt-total-supply</t>
  </si>
  <si>
    <t xml:space="preserve">MixinTransfer.sol MixinPurchase.sol MixinRefunds.sol</t>
  </si>
  <si>
    <t xml:space="preserve">Wrong design/implementation of freeTrial allows attacker to steal funds from the protocol</t>
  </si>
  <si>
    <t xml:space="preserve"> https://code4rena.com/reports/2021-11-unlock#h-02-wrong-designimplementation-of-freetrial-allows-attacker-to-steal-funds-from-the-protocol</t>
  </si>
  <si>
    <t xml:space="preserve">MixinTransfer.sol</t>
  </si>
  <si>
    <t xml:space="preserve">MixinTransfer.sol#transferFrom Wrong implementation can potentially allows attackers to reverse transfer and cause fund loss to the users</t>
  </si>
  <si>
    <t xml:space="preserve"> https://code4rena.com/reports/2021-11-unlock#h-03-mixintransfersoltransferfrom-wrong-implementation-can-potentially-allows-attackers-to-reverse-transfer-and-cause-fund-loss-to-the-users</t>
  </si>
  <si>
    <t xml:space="preserve">Approvals not cleared after key transfer</t>
  </si>
  <si>
    <t xml:space="preserve"> https://code4rena.com/reports/2021-11-unlock#h-04-approvals-not-cleared-after-key-transfer</t>
  </si>
  <si>
    <t xml:space="preserve">MapleLoan.sol</t>
  </si>
  <si>
    <t xml:space="preserve">makePayment() Lack of access control allows malicious lender to retrieve a large portion of the funds earlier, making the borrower suffer fund loss</t>
  </si>
  <si>
    <t xml:space="preserve"> https://code4rena.com/reports/2021-12-maple#h-01-makepayment-lack-of-access-control-allows-malicious-lender-to-retrieve-a-large-portion-of-the-funds-earlier-making-the-borrower-suffer-fund-loss</t>
  </si>
  <si>
    <t xml:space="preserve">CDP.sol</t>
  </si>
  <si>
    <t xml:space="preserve">CDP.sol update overwrites user’s credit on every positive increment</t>
  </si>
  <si>
    <t xml:space="preserve"> https://code4rena.com/reports/2021-11-yaxis#h-02-cdpsol-update-overwrites-users-credit-on-every-positive-increment</t>
  </si>
  <si>
    <t xml:space="preserve">LpIssuer.sol</t>
  </si>
  <si>
    <t xml:space="preserve">Wrong implementation of performanceFee can cause users to lose 50% to 100% of their funds</t>
  </si>
  <si>
    <t xml:space="preserve"> https://code4rena.com/reports/2021-12-mellow#h-02-wrong-implementation-of-performancefee-can-cause-users-to-lose-50-to-100-of-their-funds</t>
  </si>
  <si>
    <t xml:space="preserve">UniV3Vault.sol</t>
  </si>
  <si>
    <t xml:space="preserve">UniV3Vault.sol#collectEarnings() can be front run</t>
  </si>
  <si>
    <t xml:space="preserve"> https://code4rena.com/reports/2021-12-mellow#h-03-univ3vaultsolcollectearnings-can-be-front-run</t>
  </si>
  <si>
    <t xml:space="preserve">AaveVault.sol</t>
  </si>
  <si>
    <t xml:space="preserve">AaveVault does not update TVL on deposit/withdraw</t>
  </si>
  <si>
    <t xml:space="preserve"> https://code4rena.com/reports/2021-12-mellow#h-04-aavevault-does-not-update-tvl-on-depositwithdraw</t>
  </si>
  <si>
    <t xml:space="preserve">UniswapHandler.sol PoolTransferVerification.sol</t>
  </si>
  <si>
    <t xml:space="preserve">Unable to remove liquidity in Recovery Mode</t>
  </si>
  <si>
    <t xml:space="preserve"> https://code4rena.com/reports/2021-11-malt#h-02-unable-to-remove-liquidity-in-recovery-mode</t>
  </si>
  <si>
    <t xml:space="preserve">AuctionBurnReserveSkew.sol</t>
  </si>
  <si>
    <t xml:space="preserve">AuctionBurnReserveSkew.getPegDeltaFrequency() Wrong implementation can result in an improper amount of excess Liquidity Extension balance to be used at the end of an auction</t>
  </si>
  <si>
    <t xml:space="preserve"> https://code4rena.com/reports/2021-11-malt#h-04-auctionburnreserveskewgetpegdeltafrequency-wrong-implementation-can-result-in-an-improper-amount-of-excess-liquidity-extension-balance-to-be-used-at-the-end-of-an-auction-</t>
  </si>
  <si>
    <t xml:space="preserve">AuctionEscapeHatch.sol</t>
  </si>
  <si>
    <t xml:space="preserve">AuctionEschapeHatch.sol#exitEarly updates state of the auction wrongly</t>
  </si>
  <si>
    <t xml:space="preserve"> https://code4rena.com/reports/2021-11-malt#h-05-auctioneschapehatchsolexitearly-updates-state-of-the-auction-wrongly</t>
  </si>
  <si>
    <t xml:space="preserve">OptimisticLedger.sol</t>
  </si>
  <si>
    <t xml:space="preserve">Wrong shortfall calculation</t>
  </si>
  <si>
    <t xml:space="preserve"> https://code4rena.com/reports/2021-12-perennial#h-01-wrong-shortfall-calculation</t>
  </si>
  <si>
    <t xml:space="preserve">Collateral.sol</t>
  </si>
  <si>
    <t xml:space="preserve">withdrawTo Does Not Sync Before Checking A Position’s Margin Requirements</t>
  </si>
  <si>
    <t xml:space="preserve"> https://code4rena.com/reports/2021-12-perennial#h-02-withdrawto-does-not-sync-before-checking-a-positions-margin-requirements</t>
  </si>
  <si>
    <t xml:space="preserve">CreditLine.sol</t>
  </si>
  <si>
    <t xml:space="preserve">In CreditLine#_borrowTokensToLiquidate, oracle is used wrong way</t>
  </si>
  <si>
    <t xml:space="preserve"> https://code4rena.com/reports/2021-12-sublime#h-01-in-creditline_borrowtokenstoliquidate-oracle-is-used-wrong-way</t>
  </si>
  <si>
    <t xml:space="preserve">SavingsAccountUtil.sol</t>
  </si>
  <si>
    <t xml:space="preserve">Wrong returns of SavingsAccountUtil.depositFromSavingsAccount() can cause fund loss</t>
  </si>
  <si>
    <t xml:space="preserve"> https://code4rena.com/reports/2021-12-sublime#h-02-wrong-returns-of-savingsaccountutildepositfromsavingsaccount-can-cause-fund-loss</t>
  </si>
  <si>
    <t xml:space="preserve">denial of service</t>
  </si>
  <si>
    <t xml:space="preserve"> https://code4rena.com/reports/2021-12-sublime#h-03-denial-of-service</t>
  </si>
  <si>
    <t xml:space="preserve">YearnYield.sol AaveYield.sol CompoundYield.sol</t>
  </si>
  <si>
    <t xml:space="preserve">Yearn token &lt;&gt; shares conversion decimal issue</t>
  </si>
  <si>
    <t xml:space="preserve"> https://code4rena.com/reports/2021-12-sublime#h-04-yearn-token--shares-conversion-decimal-issue</t>
  </si>
  <si>
    <t xml:space="preserve">Anyone can liquidate credit line when autoLiquidation is false without supplying borrow tokens</t>
  </si>
  <si>
    <t xml:space="preserve"> https://code4rena.com/reports/2021-12-sublime#h-06-anyone-can-liquidate-credit-line-when-autoliquidation-is-false-without-supplying-borrow-tokens</t>
  </si>
  <si>
    <t xml:space="preserve">SavingsAccount.sol</t>
  </si>
  <si>
    <t xml:space="preserve">SavingsAccount withdrawAll and switchStrategy can freeze user funds by ignoring possible strategy liquidity issues</t>
  </si>
  <si>
    <t xml:space="preserve"> https://code4rena.com/reports/2021-12-sublime#h-07-savingsaccount-withdrawall-and-switchstrategy-can-freeze-user-funds-by-ignoring-possible-strategy-liquidity-issues</t>
  </si>
  <si>
    <t xml:space="preserve">Possibility to drain SavingsAccount contract assets</t>
  </si>
  <si>
    <t xml:space="preserve"> https://code4rena.com/reports/2021-12-sublime#h-08-possibility-to-drain-savingsaccount-contract-assets</t>
  </si>
  <si>
    <t xml:space="preserve">PriceOracle.sol</t>
  </si>
  <si>
    <t xml:space="preserve">PriceOracle Does Not Filter Price Feed Outliers</t>
  </si>
  <si>
    <t xml:space="preserve"> https://code4rena.com/reports/2021-12-sublime#h-09-priceoracle-does-not-filter-price-feed-outliers</t>
  </si>
  <si>
    <t xml:space="preserve">Wrong calculation of excess depositToken allows stream creator to retrieve depositTokenFlashloanFeeAmount, which may cause fund loss to users</t>
  </si>
  <si>
    <t xml:space="preserve"> https://code4rena.com/reports/2021-11-streaming#h-01-wrong-calculation-of-excess-deposittoken-allows-stream-creator-to-retrieve-deposittokenflashloanfeeamount-which-may-cause-fund-loss-to-users</t>
  </si>
  <si>
    <t xml:space="preserve">Locke.sol</t>
  </si>
  <si>
    <t xml:space="preserve">Tokens can be stolen when depositToken == rewardToken</t>
  </si>
  <si>
    <t xml:space="preserve"> https://code4rena.com/reports/2021-11-streaming#h-02-tokens-can-be-stolen-when-deposittoken--rewardtoken</t>
  </si>
  <si>
    <t xml:space="preserve">Reward token not correctly recovered</t>
  </si>
  <si>
    <t xml:space="preserve"> https://code4rena.com/reports/2021-11-streaming#h-03-reward-token-not-correctly-recovered</t>
  </si>
  <si>
    <t xml:space="preserve">Creating rewardTokens without streaming depositTokens</t>
  </si>
  <si>
    <t xml:space="preserve"> https://code4rena.com/reports/2021-11-streaming#h-06-creating-rewardtokens-without-streaming-deposittokens</t>
  </si>
  <si>
    <t xml:space="preserve">ts.tokens sometimes calculated incorrectly</t>
  </si>
  <si>
    <t xml:space="preserve"> https://code4rena.com/reports/2021-11-streaming#h-08-tstokens-sometimes-calculated-incorrectly</t>
  </si>
  <si>
    <t xml:space="preserve">recoverTokens doesn’t work when isSale is true</t>
  </si>
  <si>
    <t xml:space="preserve"> https://code4rena.com/reports/2021-11-streaming#h-10-recovertokens-doesnt-work-when-issale-is-true</t>
  </si>
  <si>
    <t xml:space="preserve">TwabRewards.sol</t>
  </si>
  <si>
    <t xml:space="preserve">createPromotion() Lack of input validation for _epochDuration can potentially freeze promotion creator’s funds</t>
  </si>
  <si>
    <t xml:space="preserve"> https://code4rena.com/reports/2021-12-pooltogether#h-01-createpromotion-lack-of-input-validation-for-_epochduration-can-potentially-freeze-promotion-creators-funds</t>
  </si>
  <si>
    <t xml:space="preserve">Backdated _startTimestamp can lead to loss of funds</t>
  </si>
  <si>
    <t xml:space="preserve"> https://code4rena.com/reports/2021-12-pooltogether#h-02-backdated-_starttimestamp-can-lead-to-loss-of-funds</t>
  </si>
  <si>
    <t xml:space="preserve">S5-2</t>
  </si>
  <si>
    <t xml:space="preserve">Continue claiming reqrds after numberOfEpochs are over</t>
  </si>
  <si>
    <t xml:space="preserve"> https://code4rena.com/reports/2021-12-pooltogether#h-03-continue-claiming-reqrds-after-numberofepochs-are-over</t>
  </si>
  <si>
    <t xml:space="preserve">cancelPromotion is too rigorous</t>
  </si>
  <si>
    <t xml:space="preserve"> https://code4rena.com/reports/2021-12-pooltogether#h-04-cancelpromotion-is-too-rigorous</t>
  </si>
  <si>
    <t xml:space="preserve">Malicious tickets can lead to the loss of all tokens</t>
  </si>
  <si>
    <t xml:space="preserve"> https://code4rena.com/reports/2021-12-pooltogether#h-05-malicious-tickets-can-lead-to-the-loss-of-all-tokens</t>
  </si>
  <si>
    <t xml:space="preserve">Rewards can be claimed multiple times</t>
  </si>
  <si>
    <t xml:space="preserve"> https://code4rena.com/reports/2021-12-pooltogether#h-06-rewards-can-be-claimed-multiple-times</t>
  </si>
  <si>
    <t xml:space="preserve">Contract does not work with fee-on transfer tokens</t>
  </si>
  <si>
    <t xml:space="preserve"> https://code4rena.com/reports/2021-12-pooltogether#h-07-contract-does-not-work-with-fee-on-transfer-tokens</t>
  </si>
  <si>
    <t xml:space="preserve">Wrong fee calculation after totalSupply was 0</t>
  </si>
  <si>
    <t xml:space="preserve"> https://code4rena.com/reports/2021-12-defiprotocol#h-01-wrong-fee-calculation-after-totalsupply-was-0</t>
  </si>
  <si>
    <t xml:space="preserve">StabilityPool.sol</t>
  </si>
  <si>
    <t xml:space="preserve">receiveCollateral() can be called by anyone</t>
  </si>
  <si>
    <t xml:space="preserve"> https://code4rena.com/reports/2021-12-yetifinance#h-01-receivecollateral-can-be-called-by-anyone</t>
  </si>
  <si>
    <t xml:space="preserve">sYETIToken.sol</t>
  </si>
  <si>
    <t xml:space="preserve">Yeti token rebase checks the additional token amount incorrectly</t>
  </si>
  <si>
    <t xml:space="preserve"> https://code4rena.com/reports/2021-12-yetifinance#h-02-yeti-token-rebase-checks-the-additional-token-amount-incorrectly</t>
  </si>
  <si>
    <t xml:space="preserve">NonUSTStrategy.sol</t>
  </si>
  <si>
    <t xml:space="preserve">Vaults with non-UST underlying asset vulnerable to flash loan attack on curve pool</t>
  </si>
  <si>
    <t xml:space="preserve"> https://code4rena.com/reports/2022-01-sandclock#h-03-vaults-with-non-ust-underlying-asset-vulnerable-to-flash-loan-attack-on-curve-pool</t>
  </si>
  <si>
    <t xml:space="preserve">SingleTokenJoinV2.sol</t>
  </si>
  <si>
    <t xml:space="preserve">Unused ERC20 tokens are not refunded, and can be stolen by attacker</t>
  </si>
  <si>
    <t xml:space="preserve"> https://code4rena.com/reports/2021-12-amun#h-01-unused-erc20-tokens-are-not-refunded-and-can-be-stolen-by-attacker</t>
  </si>
  <si>
    <t xml:space="preserve">forget to refund leftover tokens, i.e., missing state updates</t>
  </si>
  <si>
    <t xml:space="preserve">BasketFacet.sol</t>
  </si>
  <si>
    <t xml:space="preserve">It might not be possible to withdraw tokens from the basket</t>
  </si>
  <si>
    <t xml:space="preserve"> https://code4rena.com/reports/2021-12-amun#h-02-it-might-not-be-possible-to-withdraw-tokens-from-the-basket</t>
  </si>
  <si>
    <t xml:space="preserve">NFTXMarketplaceZap.sol NFTXStakingZap.sol</t>
  </si>
  <si>
    <t xml:space="preserve">A vault can be locked from MarketplaceZap and StakingZap</t>
  </si>
  <si>
    <t xml:space="preserve"> https://code4rena.com/reports/2021-12-nftx#h-03-a-vault-can-be-locked-from-marketplacezap-and-stakingzap</t>
  </si>
  <si>
    <t xml:space="preserve">VaderPoolV2 minting synths &amp; fungibles can be frontrun</t>
  </si>
  <si>
    <t xml:space="preserve"> https://code4rena.com/reports/2021-12-vader#h-01-vaderpoolv2-minting-synths--fungibles-can-be-frontrun</t>
  </si>
  <si>
    <t xml:space="preserve">LiquidityBasedTWAP.sol</t>
  </si>
  <si>
    <t xml:space="preserve">Oracle doesn’t calculate USDV/VADER price correctly</t>
  </si>
  <si>
    <t xml:space="preserve"> https://code4rena.com/reports/2021-12-vader#h-03-oracle-doesnt-calculate-usdvvader-price-correctly</t>
  </si>
  <si>
    <t xml:space="preserve">Vader TWAP averages wrong</t>
  </si>
  <si>
    <t xml:space="preserve"> https://code4rena.com/reports/2021-12-vader#h-04-vader-twap-averages-wrong</t>
  </si>
  <si>
    <t xml:space="preserve">Oracle returns an improperly scaled USDV/VADER price</t>
  </si>
  <si>
    <t xml:space="preserve"> https://code4rena.com/reports/2021-12-vader#h-05-oracle-returns-an-improperly-scaled-usdvvader-price</t>
  </si>
  <si>
    <t xml:space="preserve">USDV.sol FixedPoint.sol VaderPoolV2</t>
  </si>
  <si>
    <t xml:space="preserve"> https://code4rena.com/reports/2021-12-vader#h-06-lps-of-vaderpoolv2-can-manipulate-pool-reserves-to-extract-funds-from-the-reserve</t>
  </si>
  <si>
    <t xml:space="preserve">Redemption value of synths can be manipulated to drain VaderPoolV2 of all native assets in the associated pair</t>
  </si>
  <si>
    <t xml:space="preserve"> https://code4rena.com/reports/2021-12-vader#h-07-redemption-value-of-synths-can-be-manipulated-to-drain-vaderpoolv2-of-all-native-assets-in-the-associated-pair</t>
  </si>
  <si>
    <t xml:space="preserve">Reserve does not properly apply prices of VADER and USDV tokens</t>
  </si>
  <si>
    <t xml:space="preserve"> https://code4rena.com/reports/2021-12-vader#h-08-reserve-does-not-properly-apply-prices-of-vader-and-usdv-tokens</t>
  </si>
  <si>
    <t xml:space="preserve">USDV.sol</t>
  </si>
  <si>
    <t xml:space="preserve">USDV.sol Mint and Burn Amounts Are Incorrect</t>
  </si>
  <si>
    <t xml:space="preserve"> https://code4rena.com/reports/2021-12-vader#h-09-usdvsol-mint-and-burn-amounts-are-incorrect</t>
  </si>
  <si>
    <t xml:space="preserve">previousPrices Is Never Updated Upon Syncing Token Price</t>
  </si>
  <si>
    <t xml:space="preserve"> https://code4rena.com/reports/2021-12-vader#h-10-previousprices-is-never-updated-upon-syncing-token-price</t>
  </si>
  <si>
    <t xml:space="preserve">totalLiquidityWeight Is Updated When Adding New Token Pairs Which Skews Price Data For getVaderPrice and getUSDVPrice</t>
  </si>
  <si>
    <t xml:space="preserve"> https://code4rena.com/reports/2021-12-vader#h-11-totalliquidityweight-is-updated-when-adding-new-token-pairs-which-skews-price-data-for-getvaderprice-and-getusdvprice</t>
  </si>
  <si>
    <t xml:space="preserve">Using single total native reserve variable for synth and non-synth reserves of VaderPoolV2 can lead to losses for synth holders</t>
  </si>
  <si>
    <t xml:space="preserve"> https://code4rena.com/reports/2021-12-vader#h-12-using-single-total-native-reserve-variable-for-synth-and-non-synth-reserves-of-vaderpoolv2-can-lead-to-losses-for-synth-holders</t>
  </si>
  <si>
    <t xml:space="preserve">Council veto protection does not work</t>
  </si>
  <si>
    <t xml:space="preserve"> https://code4rena.com/reports/2021-12-vader#h-13-council-veto-protection-does-not-work</t>
  </si>
  <si>
    <t xml:space="preserve">Tokens can be burned with no access control</t>
  </si>
  <si>
    <t xml:space="preserve"> https://code4rena.com/reports/2022-01-insure#h-01-tokens-can-be-burned-with-no-access-control</t>
  </si>
  <si>
    <t xml:space="preserve">Factory.sol PoolTemplate.sol</t>
  </si>
  <si>
    <t xml:space="preserve">Malicious Market Creators Can Steal Tokens From Unsuspecting Approved Reference Accounts</t>
  </si>
  <si>
    <t xml:space="preserve"> https://code4rena.com/reports/2022-01-insure#h-03-malicious-market-creators-can-steal-tokens-from-unsuspecting-approved-reference-accounts</t>
  </si>
  <si>
    <t xml:space="preserve">Initial pool deposit can be stolen</t>
  </si>
  <si>
    <t xml:space="preserve"> https://code4rena.com/reports/2022-01-insure#h-04-initial-pool-deposit-can-be-stolen</t>
  </si>
  <si>
    <t xml:space="preserve">PoolTemplate.sol#resume() Wrong implementation of resume() will compensate overmuch redeem amount from index pools</t>
  </si>
  <si>
    <t xml:space="preserve"> https://code4rena.com/reports/2022-01-insure#h-11-pooltemplatesolresume-wrong-implementation-of-resume-will-compensate-overmuch-redeem-amount-from-index-pools</t>
  </si>
  <si>
    <t xml:space="preserve">IndexTemplate.sol</t>
  </si>
  <si>
    <t xml:space="preserve">IndexTemplate.sol Wrong implementation allows lp of the index pool to resume a locked PayingOut pool and escape the responsibility for the compensation</t>
  </si>
  <si>
    <t xml:space="preserve"> https://code4rena.com/reports/2022-01-insure#h-12-indextemplatesol-wrong-implementation-allows-lp-of-the-index-pool-to-resume-a-locked-payingout-pool-and-escape-the-responsibility-for-the-compensation</t>
  </si>
  <si>
    <t xml:space="preserve">L1Migrator.sol</t>
  </si>
  <si>
    <t xml:space="preserve">L1Migrator.sol#migrateETH() does not send bridgeMinter’s ETH to L2 causing ETH get frozen in the contract</t>
  </si>
  <si>
    <t xml:space="preserve"> https://code4rena.com/reports/2022-01-livepeer#h-01-wp-h5-l1migratorsolmigrateeth-does-not-send-bridgeminters-eth-to-l2-causing-eth-get-frozen-in-the-contract</t>
  </si>
  <si>
    <t xml:space="preserve">TimeswapPair.sol</t>
  </si>
  <si>
    <t xml:space="preserve">TimeswapPair.sol#borrow() Improper implementation allows attacker to increase pool.state.z to a large value</t>
  </si>
  <si>
    <t xml:space="preserve"> https://code4rena.com/reports/2022-01-timeswap#h-01-timeswappairsolborrow-improper-implementation-allows-attacker-to-increase-poolstatez-to-a-large-value</t>
  </si>
  <si>
    <t xml:space="preserve">TimeswapConvenience.sol</t>
  </si>
  <si>
    <t xml:space="preserve">TimeswapConvenience.sol#borrowGivenDebt() Attacker can increase state.y to an extremely large value with a dust amount of assetOut</t>
  </si>
  <si>
    <t xml:space="preserve"> https://code4rena.com/reports/2022-01-timeswap#h-02-timeswapconveniencesolborrowgivendebt-attacker-can-increase-statey-to-an-extremely-large-value-with-a-dust-amount-of-assetout</t>
  </si>
  <si>
    <t xml:space="preserve">Manipulation of the Y State Results in Interest Rate Manipulation</t>
  </si>
  <si>
    <t xml:space="preserve"> https://code4rena.com/reports/2022-01-timeswap#h-03-manipulation-of-the-y-state-results-in-interest-rate-manipulation</t>
  </si>
  <si>
    <t xml:space="preserve">MathLib.sol</t>
  </si>
  <si>
    <t xml:space="preserve">In the case of Single Asset Entry, new liquidity providers will suffer fund loss due to wrong formula of ΔRo</t>
  </si>
  <si>
    <t xml:space="preserve"> https://code4rena.com/reports/2022-01-elasticswap#h-01-in-the-case-of-single-asset-entry-new-liquidity-providers-will-suffer-fund-loss-due-to-wrong-formula-of-%CE%B4ro</t>
  </si>
  <si>
    <t xml:space="preserve">Exchange.sol</t>
  </si>
  <si>
    <t xml:space="preserve">Transferring quoteToken to the exchange pool contract will cause future liquidity providers to lose funds</t>
  </si>
  <si>
    <t xml:space="preserve"> https://code4rena.com/reports/2022-01-elasticswap#h-02-transferring-quotetoken-to-the-exchange-pool-contract-will-cause-future-liquidity-providers-to-lose-funds</t>
  </si>
  <si>
    <t xml:space="preserve">FlashGovernanceArbiter.sol</t>
  </si>
  <si>
    <t xml:space="preserve">Lack of access control on assertGovernanceApproved can cause funds to be locked</t>
  </si>
  <si>
    <t xml:space="preserve"> https://code4rena.com/reports/2022-01-behodler#h-01-lack-of-access-control-on-assertgovernanceapproved-can-cause-funds-to-be-locked</t>
  </si>
  <si>
    <t xml:space="preserve">RebaseProxy.sol</t>
  </si>
  <si>
    <t xml:space="preserve">wrong minting amount</t>
  </si>
  <si>
    <t xml:space="preserve"> https://code4rena.com/reports/2022-01-behodler#h-02-wrong-minting-amount</t>
  </si>
  <si>
    <t xml:space="preserve">ERC677.sol</t>
  </si>
  <si>
    <t xml:space="preserve">Double transfer in the transferAndCall function of ERC677</t>
  </si>
  <si>
    <t xml:space="preserve"> https://code4rena.com/reports/2022-01-behodler#h-03-double-transfer-in-the-transferandcall-function-of-erc677</t>
  </si>
  <si>
    <t xml:space="preserve">Logic error in burnFlashGovernanceAsset can cause locked assets to be stolen</t>
  </si>
  <si>
    <t xml:space="preserve"> https://code4rena.com/reports/2022-01-behodler#h-04-logic-error-in-burnflashgovernanceasset-can-cause-locked-assets-to-be-stolen</t>
  </si>
  <si>
    <t xml:space="preserve">FlanBackstop.sol</t>
  </si>
  <si>
    <t xml:space="preserve">Flash loan price manipulation in purchasePyroFlan()</t>
  </si>
  <si>
    <t xml:space="preserve"> https://code4rena.com/reports/2022-01-behodler#h-05-flash-loan-price-manipulation-in-purchasepyroflan</t>
  </si>
  <si>
    <t xml:space="preserve">Loss Of Flash Governance Tokens If They Are Not Withdrawn Before The Next Request</t>
  </si>
  <si>
    <t xml:space="preserve"> https://code4rena.com/reports/2022-01-behodler#h-06-loss-of-flash-governance-tokens-if-they-are-not-withdrawn-before-the-next-request</t>
  </si>
  <si>
    <t xml:space="preserve">LimboDAO.sol</t>
  </si>
  <si>
    <t xml:space="preserve">LP pricing formula is vulnerable to flashloan manipulation</t>
  </si>
  <si>
    <t xml:space="preserve"> https://code4rena.com/reports/2022-01-behodler#h-07-lp-pricing-formula-is-vulnerable-to-flashloan-manipulation</t>
  </si>
  <si>
    <t xml:space="preserve">LaunchEvent.sol</t>
  </si>
  <si>
    <t xml:space="preserve">Wrong token allocation computation for token decimals != 18 if floor price not reached</t>
  </si>
  <si>
    <t xml:space="preserve"> https://code4rena.com/reports/2022-01-trader-joe#h-02-wrong-token-allocation-computation-for-token-decimals--18-if-floor-price-not-reached</t>
  </si>
  <si>
    <t xml:space="preserve">ConvexYieldWrapper.sol</t>
  </si>
  <si>
    <t xml:space="preserve">Malicious Users Can Duplicate Protocol Earned Yield By Transferring wCVX Tokens To Another Account</t>
  </si>
  <si>
    <t xml:space="preserve"> https://code4rena.com/reports/2022-01-yield#h-01-malicious-users-can-duplicate-protocol-earned-yield-by-transferring-wcvx-tokens-to-another-account</t>
  </si>
  <si>
    <t xml:space="preserve">ConvexStakingWrapper.sol</t>
  </si>
  <si>
    <t xml:space="preserve">Malicious Users Can Transfer Vault Collateral To Other Accounts To Extract Additional Yield From The Protocol</t>
  </si>
  <si>
    <t xml:space="preserve"> https://code4rena.com/reports/2022-01-yield#h-02-malicious-users-can-transfer-vault-collateral-to-other-accounts-to-extract-additional-yield-from-the-protocol</t>
  </si>
  <si>
    <t xml:space="preserve">TreasuryAction.sol</t>
  </si>
  <si>
    <t xml:space="preserve">Treasury cannot claim COMP tokens &amp; COMP tokens are stuck</t>
  </si>
  <si>
    <t xml:space="preserve"> https://code4rena.com/reports/2022-01-notional#h-01-treasury-cannot-claim-comp-tokens--comp-tokens-are-stuck</t>
  </si>
  <si>
    <t xml:space="preserve">sNOTE.sol</t>
  </si>
  <si>
    <t xml:space="preserve">Cooldown and redeem windows can be rendered useless</t>
  </si>
  <si>
    <t xml:space="preserve"> https://code4rena.com/reports/2022-01-notional#h-02-cooldown-and-redeem-windows-can-be-rendered-useless</t>
  </si>
  <si>
    <t xml:space="preserve">MasterChef.sol</t>
  </si>
  <si>
    <t xml:space="preserve">Wrong reward token calculation in MasterChef contract</t>
  </si>
  <si>
    <t xml:space="preserve"> https://code4rena.com/reports/2022-02-concur#h-01-wrong-reward-token-calculation-in-masterchef-contract</t>
  </si>
  <si>
    <t xml:space="preserve">Masterchef: Improper handling of deposit fee</t>
  </si>
  <si>
    <t xml:space="preserve"> https://code4rena.com/reports/2022-02-concur#h-02-masterchef-improper-handling-of-deposit-fee</t>
  </si>
  <si>
    <t xml:space="preserve">Shelter.sol</t>
  </si>
  <si>
    <t xml:space="preserve">Repeated Calls to Shelter.withdraw Can Drain All Funds in Shelter</t>
  </si>
  <si>
    <t xml:space="preserve"> https://code4rena.com/reports/2022-02-concur#h-03-repeated-calls-to-shelterwithdraw-can-drain-all-funds-in-shelter</t>
  </si>
  <si>
    <t xml:space="preserve">USDMPegRecovery.sol</t>
  </si>
  <si>
    <t xml:space="preserve">USDMPegRecovery Risk of fund locked, due to discrepancy between curveLP token value against internal contract math</t>
  </si>
  <si>
    <t xml:space="preserve"> https://code4rena.com/reports/2022-02-concur#h-05-usdmpegrecovery-risk-of-fund-locked-due-to-discrepancy-between-curvelp-token-value-against-internal-contract-math</t>
  </si>
  <si>
    <t xml:space="preserve">ConvexStakingWrapper.sol#_calcRewardIntegral Wrong implementation can disrupt rewards calculation and distribution</t>
  </si>
  <si>
    <t xml:space="preserve"> https://code4rena.com/reports/2022-02-concur#h-06-convexstakingwrappersol_calcrewardintegral-wrong-implementation-can-disrupt-rewards-calculation-and-distribution</t>
  </si>
  <si>
    <t xml:space="preserve">Shelter claimed mapping is set with _to address and not msg.sender</t>
  </si>
  <si>
    <t xml:space="preserve"> https://code4rena.com/reports/2022-02-concur#h-07-shelter-claimed-mapping-is-set-with-_to-address-and-not-msgsender</t>
  </si>
  <si>
    <t xml:space="preserve">MasterChef.sol Users won’t be able to receive the concur rewards</t>
  </si>
  <si>
    <t xml:space="preserve"> https://code4rena.com/reports/2022-02-concur#h-08-masterchefsol-users-wont-be-able-to-receive-the-concur-rewards</t>
  </si>
  <si>
    <t xml:space="preserve">ConvexStakingWrapper._calcRewardIntegral() Can Be Manipulated To Steal Tokens From Other Pools</t>
  </si>
  <si>
    <t xml:space="preserve"> https://code4rena.com/reports/2022-02-concur#h-11-convexstakingwrapper_calcrewardintegral-can-be-manipulated-to-steal-tokens-from-other-pools</t>
  </si>
  <si>
    <t xml:space="preserve">IndexLogic.sol</t>
  </si>
  <si>
    <t xml:space="preserve">IndexLogic: An attacker can mint tokens for himself using assets deposited by other users</t>
  </si>
  <si>
    <t xml:space="preserve"> https://code4rena.com/reports/2022-04-phuture#h-01-indexlogic-an-attacker-can-mint-tokens-for-himself-using-assets-deposited-by-other-users</t>
  </si>
  <si>
    <t xml:space="preserve">TurboSafe.sol</t>
  </si>
  <si>
    <t xml:space="preserve">ERC4626 mint uses wrong amount</t>
  </si>
  <si>
    <t xml:space="preserve"> https://code4rena.com/reports/2022-02-tribe-turbo#h-01-erc4626-mint-uses-wrong-amount</t>
  </si>
  <si>
    <t xml:space="preserve">NFTMarketReserveAuction.sol</t>
  </si>
  <si>
    <t xml:space="preserve">NFT owner can create multiple auctions</t>
  </si>
  <si>
    <t xml:space="preserve"> https://code4rena.com/reports/2022-02-foundation#h-01-nft-owner-can-create-multiple-auctions</t>
  </si>
  <si>
    <t xml:space="preserve">NFTMarketCreators.sol</t>
  </si>
  <si>
    <t xml:space="preserve">Creators can steal sale revenue from owners’ sales</t>
  </si>
  <si>
    <t xml:space="preserve"> https://code4rena.com/reports/2022-02-foundation#h-02-creators-can-steal-sale-revenue-from-owners-sales</t>
  </si>
  <si>
    <t xml:space="preserve">NFTMarketReserveAuction.sol NFTMarketOffer.sol NFTMarketBuyPrice</t>
  </si>
  <si>
    <t xml:space="preserve">An offer made after auction end can be stolen by an auction winner</t>
  </si>
  <si>
    <t xml:space="preserve"> https://code4rena.com/reports/2022-02-foundation#h-03-an-offer-made-after-auction-end-can-be-stolen-by-an-auction-winner</t>
  </si>
  <si>
    <t xml:space="preserve">Wrong timing of check allows users to withdraw collateral without paying for the debt</t>
  </si>
  <si>
    <t xml:space="preserve"> https://code4rena.com/reports/2022-03-timeswap#h-01-wrong-timing-of-check-allows-users-to-withdraw-collateral-without-paying-for-the-debt</t>
  </si>
  <si>
    <t xml:space="preserve">LiquidityPool.sol</t>
  </si>
  <si>
    <t xml:space="preserve">Can deposit native token for free and steal funds</t>
  </si>
  <si>
    <t xml:space="preserve"> https://code4rena.com/reports/2022-03-biconomy#h-01-can-deposit-native-token-for-free-and-steal-funds</t>
  </si>
  <si>
    <t xml:space="preserve">Wrong formula when add fee incentivePool can lead to loss of funds.</t>
  </si>
  <si>
    <t xml:space="preserve"> https://code4rena.com/reports/2022-03-biconomy#h-03-wrong-formula-when-add-fee-incentivepool-can-lead-to-loss-of-funds</t>
  </si>
  <si>
    <t xml:space="preserve">LiquidityFarming.sol</t>
  </si>
  <si>
    <t xml:space="preserve">Deleting nft Info can cause users’ nft.unpaidRewards to be permanently erased</t>
  </si>
  <si>
    <t xml:space="preserve"> https://code4rena.com/reports/2022-03-biconomy#h-04-deleting-nft-info-can-cause-users-nftunpaidrewards-to-be-permanently-erased</t>
  </si>
  <si>
    <t xml:space="preserve">QTokenStringUtils.sol</t>
  </si>
  <si>
    <t xml:space="preserve">Incorrect strike price displayed in name/symbol of qToken</t>
  </si>
  <si>
    <t xml:space="preserve"> https://code4rena.com/reports/2022-03-rolla#h-01-incorrect-strike-price-displayed-in-namesymbol-of-qtoken-</t>
  </si>
  <si>
    <t xml:space="preserve">EIP712MetaTransaction.sol</t>
  </si>
  <si>
    <t xml:space="preserve">EIP712MetaTransaction.executeMetaTransaction() failed txs are open to replay attacks</t>
  </si>
  <si>
    <t xml:space="preserve"> https://code4rena.com/reports/2022-03-rolla#h-04-eip712metatransactionexecutemetatransaction-failed-txs-are-open-to-replay-attacks</t>
  </si>
  <si>
    <t xml:space="preserve">Withdrawal delay can be circumvented</t>
  </si>
  <si>
    <t xml:space="preserve"> https://code4rena.com/reports/2022-03-prepo#h-03-withdrawal-delay-can-be-circumvented</t>
  </si>
  <si>
    <t xml:space="preserve">LenderPool: Principal withdrawable is incorrectly calculated if start() is invoked with non-zero start fee</t>
  </si>
  <si>
    <t xml:space="preserve"> https://code4rena.com/reports/2022-03-sublime#h-01-lenderpool-principal-withdrawable-is-incorrectly-calculated-if-start-is-invoked-with-non-zero-start-fee</t>
  </si>
  <si>
    <t xml:space="preserve">PooledCreditLine: termination likely fails because _principleWithdrawable is treated as shares</t>
  </si>
  <si>
    <t xml:space="preserve"> https://code4rena.com/reports/2022-03-sublime#h-02-pooledcreditline-termination-likely-fails-because-_principlewithdrawable-is-treated-as-shares</t>
  </si>
  <si>
    <t xml:space="preserve">ScalingPriceOracle.sol</t>
  </si>
  <si>
    <t xml:space="preserve">Oracle price does not compound</t>
  </si>
  <si>
    <t xml:space="preserve"> https://code4rena.com/reports/2022-03-volt#h-01-oracle-price-does-not-compound</t>
  </si>
  <si>
    <t xml:space="preserve">GenericSwapFacet.sol NXTPFacet.sol CBridgeFacet.sol HopFacet.sol AnyswapFacet.sol</t>
  </si>
  <si>
    <t xml:space="preserve">Reliance on lifiData.receivingAssetId can cause loss of funds</t>
  </si>
  <si>
    <t xml:space="preserve"> https://code4rena.com/reports/2022-03-lifinance#h-01-reliance-on-lifidatareceivingassetid-can-cause-loss-of-funds</t>
  </si>
  <si>
    <t xml:space="preserve">LibSwap.sol GenericSwapFacet.sol</t>
  </si>
  <si>
    <t xml:space="preserve">All swapping functions lack checks for returned tokens</t>
  </si>
  <si>
    <t xml:space="preserve"> https://code4rena.com/reports/2022-03-lifinance#h-02-all-swapping-functions-lack-checks-for-returned-tokens</t>
  </si>
  <si>
    <t xml:space="preserve">Splitter.sol</t>
  </si>
  <si>
    <t xml:space="preserve">Splitter: Anyone can call incrementWindow to steal the tokens in the contract</t>
  </si>
  <si>
    <t xml:space="preserve"> https://code4rena.com/reports/2022-03-joyn#h-02-splitter-anyone-can-call-incrementwindow-to-steal-the-tokens-in-the-contract</t>
  </si>
  <si>
    <t xml:space="preserve">CoreCollection.sol</t>
  </si>
  <si>
    <t xml:space="preserve">CoreCollection can be reinitialized</t>
  </si>
  <si>
    <t xml:space="preserve"> https://code4rena.com/reports/2022-03-joyn#h-04-corecollection-can-be-reinitialized</t>
  </si>
  <si>
    <t xml:space="preserve">System could be wrapped and made useless without contract whitelisting</t>
  </si>
  <si>
    <t xml:space="preserve"> https://code4rena.com/reports/2022-03-paladin#h-02-system-could-be-wrapped-and-made-useless-without-contract-whitelisting</t>
  </si>
  <si>
    <t xml:space="preserve">NFTVault.sol JPEGLock.sol</t>
  </si>
  <si>
    <t xml:space="preserve">Existing user’s locked JPEG could be overwritten by new user, causing permanent loss of JPEG funds</t>
  </si>
  <si>
    <t xml:space="preserve"> https://code4rena.com/reports/2022-04-jpegd#h-02-existing-users-locked-jpeg-could-be-overwritten-by-new-user-causing-permanent-loss-of-jpeg-funds</t>
  </si>
  <si>
    <t xml:space="preserve">NFTVault.sol</t>
  </si>
  <si>
    <t xml:space="preserve">Bad debts should not continue to accrue interest</t>
  </si>
  <si>
    <t xml:space="preserve"> https://code4rena.com/reports/2022-04-jpegd#h-09-bad-debts-should-not-continue-to-accrue-interest</t>
  </si>
  <si>
    <t xml:space="preserve">AxelarGateway.sol</t>
  </si>
  <si>
    <t xml:space="preserve">Cross-chain smart contract calls can revert but source chain tokens remain burnt and are not refunded</t>
  </si>
  <si>
    <t xml:space="preserve"> https://code4rena.com/reports/2022-04-axelar#h-01-cross-chain-smart-contract-calls-can-revert-but-source-chain-tokens-remain-burnt-and-are-not-refunded</t>
  </si>
  <si>
    <t xml:space="preserve">StakedCitadel.sol</t>
  </si>
  <si>
    <t xml:space="preserve">StakedCitadel doesn’t use correct balance for internal accounting</t>
  </si>
  <si>
    <t xml:space="preserve"> https://code4rena.com/reports/2022-04-badger-citadel#h-01-stakedcitadel-doesnt-use-correct-balance-for-internal-accounting</t>
  </si>
  <si>
    <t xml:space="preserve">StakerVault.sol</t>
  </si>
  <si>
    <t xml:space="preserve">User can steal all rewards due to checkpoint after transfer</t>
  </si>
  <si>
    <t xml:space="preserve"> https://code4rena.com/reports/2022-04-backd#h-01-user-can-steal-all-rewards-due-to-checkpoint-after-transfer</t>
  </si>
  <si>
    <t xml:space="preserve">function lockFunds in TopUpActionLibrary can cause serious fund lose. fee and Capped bypass. It’s not calling stakerVault.increaseActionLockedBalance when transfers stakes.</t>
  </si>
  <si>
    <t xml:space="preserve"> https://code4rena.com/reports/2022-04-backd#h-02-function-lockfunds-in-topupactionlibrary-can-cause-serious-fund-lose-fee-and-capped-bypass-its-not-calling-stakervaultincreaseactionlockedbalance-when-transfers-stakes</t>
  </si>
  <si>
    <t xml:space="preserve">NFTPair.sol NFTPairWithOracle.sol</t>
  </si>
  <si>
    <t xml:space="preserve">Avoidance of Liquidation Via Malicious Oracle</t>
  </si>
  <si>
    <t xml:space="preserve"> https://code4rena.com/reports/2022-04-abranft#h-01-avoidance-of-liquidation-via-malicious-oracle</t>
  </si>
  <si>
    <t xml:space="preserve">NFTPairWithOracle.sol</t>
  </si>
  <si>
    <t xml:space="preserve">The return value success of the get function of the INFTOracle interface is not checked</t>
  </si>
  <si>
    <t xml:space="preserve"> https://code4rena.com/reports/2022-04-abranft#h-02-the-return-value-success-of-the-get-function-of-the-inftoracle-interface-is-not-checked</t>
  </si>
  <si>
    <t xml:space="preserve">Critical Oracle Manipulation Risk by Lender</t>
  </si>
  <si>
    <t xml:space="preserve"> https://code4rena.com/reports/2022-04-abranft#h-03-critical-oracle-manipulation-risk-by-lender</t>
  </si>
  <si>
    <t xml:space="preserve">Lender is able to seize the collateral by changing the loan parameters</t>
  </si>
  <si>
    <t xml:space="preserve"> https://code4rena.com/reports/2022-04-abranft#h-04-lender-is-able-to-seize-the-collateral-by-changing-the-loan-parameters</t>
  </si>
  <si>
    <t xml:space="preserve">Mistake while checking LTV to lender accepted LTV</t>
  </si>
  <si>
    <t xml:space="preserve"> https://code4rena.com/reports/2022-04-abranft#h-05-mistake-while-checking-ltv-to-lender-accepted-ltv</t>
  </si>
  <si>
    <t xml:space="preserve">SuperVault.sol</t>
  </si>
  <si>
    <t xml:space="preserve">Fund loss or theft by attacker with creating a flash loan and setting SuperVault as receiver so executeOperation() will be get called by lendingPool but with attackers specified params</t>
  </si>
  <si>
    <t xml:space="preserve"> https://code4rena.com/reports/2022-04-mimo#h-02-fund-loss-or-theft-by-attacker-with-creating-a-flash-loan-and-setting-supervault-as-receiver-so-executeoperation-will-be-get-called-by-lendingpool-but-with-attackers-specified-params</t>
  </si>
  <si>
    <t xml:space="preserve">Cally.sol</t>
  </si>
  <si>
    <t xml:space="preserve">Inefficiency in the Dutch Auction due to lower duration</t>
  </si>
  <si>
    <t xml:space="preserve"> https://code4rena.com/reports/2022-05-cally#h-02-inefficiency-in-the-dutch-auction-due-to-lower-duration</t>
  </si>
  <si>
    <t xml:space="preserve">ExtraRewardsDistributor.sol</t>
  </si>
  <si>
    <t xml:space="preserve">User can forfeit other user rewards</t>
  </si>
  <si>
    <t xml:space="preserve"> https://code4rena.com/reports/2022-05-aura#h-01-user-can-forfeit-other-user-rewards</t>
  </si>
  <si>
    <t xml:space="preserve">GeneralVault.sol LidoVault.sol</t>
  </si>
  <si>
    <t xml:space="preserve">Hard-coded slippage may freeze user funds during market turbulence</t>
  </si>
  <si>
    <t xml:space="preserve"> https://code4rena.com/reports/2022-05-sturdy#h-01-hard-coded-slippage-may-freeze-user-funds-during-market-turbulence</t>
  </si>
  <si>
    <t xml:space="preserve">Minter.sol</t>
  </si>
  <si>
    <t xml:space="preserve">Total Supply is not guaranteed and is not deterministic.</t>
  </si>
  <si>
    <t xml:space="preserve"> https://code4rena.com/reports/2022-05-backd#h-02-total-supply-is-not-guaranteed-and-is-not-deterministic</t>
  </si>
  <si>
    <t xml:space="preserve">JBChainlinkV3PriceFeed.sol JBPrices.sol JBSingleTokenPaymentTerminalStore.sol</t>
  </si>
  <si>
    <t xml:space="preserve">Oracle data feed can be outdated yet used anyways which will impact payment logic</t>
  </si>
  <si>
    <t xml:space="preserve"> https://code4rena.com/reports/2022-07-juicebox#h-01-oracle-data-feed-can-be-outdated-yet-used-anyways-which-will-impact-payment-logic</t>
  </si>
  <si>
    <t xml:space="preserve">JBTokenStore.sol JBController.sol</t>
  </si>
  <si>
    <t xml:space="preserve">Token Change Can Be Frontrun, Blocking Token</t>
  </si>
  <si>
    <t xml:space="preserve"> https://code4rena.com/reports/2022-07-juicebox#h-02-token-change-can-be-frontrun-blocking-token</t>
  </si>
  <si>
    <t xml:space="preserve">NameWrapper.sol</t>
  </si>
  <si>
    <t xml:space="preserve">The expiry of the parent node can be smaller than the one of a child node, violating the guarantee policy</t>
  </si>
  <si>
    <t xml:space="preserve"> https://code4rena.com/reports/2022-07-ens#h-02-the-expiry-of-the-parent-node-can-be-smaller-than-the-one-of-a-child-node-violating-the-guarantee-policy</t>
  </si>
  <si>
    <t xml:space="preserve">ENSRegistry.sol NameWrapper.sol</t>
  </si>
  <si>
    <t xml:space="preserve">PARENT_CANNOT_CONTROL can be bypassed by maliciously unwrapping parent node</t>
  </si>
  <si>
    <t xml:space="preserve"> https://code4rena.com/reports/2022-07-ens#h-03-parent_cannot_control-can-be-bypassed-by-maliciously-unwrapping-parent-node</t>
  </si>
  <si>
    <t xml:space="preserve">WithdrawHook.sol</t>
  </si>
  <si>
    <t xml:space="preserve">griefing / blocking / delaying users to withdraw</t>
  </si>
  <si>
    <t xml:space="preserve"> https://code4rena.com/reports/2022-12-prepo#h-01-griefing--blocking--delaying-users-to-withdraw</t>
  </si>
  <si>
    <t xml:space="preserve">A whale user is able to cause freeze of funds of other users by bypassing withdraw limit</t>
  </si>
  <si>
    <t xml:space="preserve"> https://code4rena.com/reports/2022-12-prepo#h-02-a-whale-user-is-able-to-cause-freeze-of-funds-of-other-users-by-bypassing-withdraw-limit</t>
  </si>
  <si>
    <t xml:space="preserve">VRFNFTRandomDraw.sol</t>
  </si>
  <si>
    <t xml:space="preserve">Draw organizer can rig the draw to favor certain participants such as their own account.</t>
  </si>
  <si>
    <t xml:space="preserve"> https://code4rena.com/reports/2022-12-forgeries#h-02-draw-organizer-can-rig-the-draw-to-favor-certain-participants-such-as-their-own-account</t>
  </si>
  <si>
    <t xml:space="preserve">Lock.sol</t>
  </si>
  <si>
    <t xml:space="preserve">Lock.sol: assets deposited with Lock.extendLock function are lost</t>
  </si>
  <si>
    <t xml:space="preserve"> https://code4rena.com/reports/2022-12-tigris#h-01-locksol-assets-deposited-with-lockextendlock-function-are-lost</t>
  </si>
  <si>
    <t xml:space="preserve">Trading.sol</t>
  </si>
  <si>
    <t xml:space="preserve">Riskless trades due to delay check</t>
  </si>
  <si>
    <t xml:space="preserve"> https://code4rena.com/reports/2022-12-tigris#h-02-riskless-trades-due-to-delay-check</t>
  </si>
  <si>
    <t xml:space="preserve">Trading.sol Position.sol</t>
  </si>
  <si>
    <t xml:space="preserve">Bypass the maximum PnL check to take extra profit</t>
  </si>
  <si>
    <t xml:space="preserve"> https://code4rena.com/reports/2022-12-tigris#h-04-bypass-the-maximum-pnl-check-to-take-extra-profit</t>
  </si>
  <si>
    <t xml:space="preserve">BondNFT.sol</t>
  </si>
  <si>
    <t xml:space="preserve">Malicious user can steal all assets in BondNFT</t>
  </si>
  <si>
    <t xml:space="preserve"> https://code4rena.com/reports/2022-12-tigris#h-05-malicious-user-can-steal-all-assets-in-bondnft</t>
  </si>
  <si>
    <t xml:space="preserve">Incorrect calculation of new price while adding position</t>
  </si>
  <si>
    <t xml:space="preserve"> https://code4rena.com/reports/2022-12-tigris#h-06-incorrect-calculation-of-new-price-while-adding-position</t>
  </si>
  <si>
    <t xml:space="preserve">StableVault.sol</t>
  </si>
  <si>
    <t xml:space="preserve">Incorrect Assumption of Stablecoin Market Stability</t>
  </si>
  <si>
    <t xml:space="preserve"> https://code4rena.com/reports/2022-12-tigris#h-08-incorrect-assumption-of-stablecoin-market-stability</t>
  </si>
  <si>
    <t xml:space="preserve">Users can bypass the maxWinPercent limit using a partially closing</t>
  </si>
  <si>
    <t xml:space="preserve"> https://code4rena.com/reports/2022-12-tigris#h-09-users-can-bypass-the-maxwinpercent-limit-using-a-partially-closing</t>
  </si>
  <si>
    <t xml:space="preserve">User can abuse tight stop losses and high leverage to make risk free trades</t>
  </si>
  <si>
    <t xml:space="preserve"> https://code4rena.com/reports/2022-12-tigris#h-10-user-can-abuse-tight-stop-losses-and-high-leverage-to-make-risk-free-trades</t>
  </si>
  <si>
    <t xml:space="preserve">Not enough margin pulled or burned from user when adding to a position</t>
  </si>
  <si>
    <t xml:space="preserve"> https://code4rena.com/reports/2022-12-tigris#h-11-not-enough-margin-pulled-or-burned-from-user-when-adding-to-a-position</t>
  </si>
  <si>
    <t xml:space="preserve">Pair.sol</t>
  </si>
  <si>
    <t xml:space="preserve">Liquidity providers may lose funds when adding liquidity</t>
  </si>
  <si>
    <t xml:space="preserve"> https://code4rena.com/reports/2022-12-caviar#h-02-liquidity-providers-may-lose-funds-when-adding-liquidity</t>
  </si>
  <si>
    <t xml:space="preserve">C1</t>
  </si>
  <si>
    <t xml:space="preserve">C2</t>
  </si>
  <si>
    <t xml:space="preserve">C3&amp;5</t>
  </si>
  <si>
    <t xml:space="preserve">C4</t>
  </si>
  <si>
    <t xml:space="preserve">C6</t>
  </si>
  <si>
    <t xml:space="preserve">C7</t>
  </si>
  <si>
    <t xml:space="preserve">Total</t>
  </si>
  <si>
    <t xml:space="preserve">Code4rena</t>
  </si>
  <si>
    <t xml:space="preserve">uniq</t>
  </si>
  <si>
    <t xml:space="preserve">TP</t>
  </si>
  <si>
    <t xml:space="preserve">report</t>
  </si>
  <si>
    <t xml:space="preserve">high</t>
  </si>
  <si>
    <t xml:space="preserve">high%</t>
  </si>
  <si>
    <t xml:space="preserve">high in report</t>
  </si>
  <si>
    <t xml:space="preserve">non-high in report</t>
  </si>
  <si>
    <t xml:space="preserve">true not in report</t>
  </si>
  <si>
    <t xml:space="preserve">false alarm</t>
  </si>
  <si>
    <t xml:space="preserve">total</t>
  </si>
  <si>
    <t xml:space="preserve">GPT_alarms</t>
  </si>
  <si>
    <t xml:space="preserve">placeholder</t>
  </si>
  <si>
    <t xml:space="preserve">OriProj</t>
  </si>
  <si>
    <t xml:space="preserve">Proj</t>
  </si>
  <si>
    <t xml:space="preserve">Test</t>
  </si>
  <si>
    <t xml:space="preserve">Seq</t>
  </si>
  <si>
    <t xml:space="preserve">Functions</t>
  </si>
  <si>
    <t xml:space="preserve">Explanation</t>
  </si>
  <si>
    <t xml:space="preserve">3_1</t>
  </si>
  <si>
    <t xml:space="preserve">getPriceFromAMM</t>
  </si>
  <si>
    <t xml:space="preserve">In this smart contract, the getPriceFromAMM function is responsible for fetching the price of a token from the AMM (Automated Market Maker). While the contract does have some mechanisms in place to prevent price manipulation, the getPriceFromAMM function can still be susceptible to manipulation. The reason being that it relies on the external data provided by the AMM, which can be subject to manipulation through methods like sandwich attacks or flash loans. An attacker could temporarily manipulate the prices on the AMM and influence the token prices fetched by the getPriceFromAMM function.</t>
  </si>
  <si>
    <t xml:space="preserve">getCurrentPriceInPeg</t>
  </si>
  <si>
    <t xml:space="preserve">The getCurrentPriceInPeg function is responsible for determining the current price of a token in the peg. This function relies on the prices fetched by the getPriceFromAMM function, which, as mentioned earlier, can be manipulated. Therefore, any manipulation in getPriceFromAMM can also affect the getCurrentPriceInPeg function. This can potentially lead to incorrect price estimations and impact the entire smart contract's functionality.</t>
  </si>
  <si>
    <t xml:space="preserve">3_2</t>
  </si>
  <si>
    <t xml:space="preserve">The getPriceFromAMM function fetches the price of a token from an external AMM (Automated Market Maker) and updates the stored price of the token. The prices fetched from external AMMs can be manipulated if a malicious actor has a substantial influence on the liquidity of the token. This could lead to incorrect price updates, affecting the smart contract's behavior.</t>
  </si>
  <si>
    <t xml:space="preserve">The getCurrentPriceInPeg function retrieves the current price of the token in the pegged currency. The price is fetched by calling the getPriceFromAMM function, which is susceptible to price manipulation as explained above. If the price of the token is manipulated in the AMM, it will affect the price returned by this function as well.</t>
  </si>
  <si>
    <t xml:space="preserve">viewCurrentPriceInPeg</t>
  </si>
  <si>
    <t xml:space="preserve">The viewCurrentPriceInPeg function is a view function that returns the current price of a token in the pegged currency. It calculates the price by using data fetched from external AMMs through UniswapStyleLib.getAmountsOut, which can be manipulated if a malicious actor has a significant influence on the liquidity of the token. This can lead to incorrect price estimations, impacting the contract's behavior.</t>
  </si>
  <si>
    <t xml:space="preserve">3_3</t>
  </si>
  <si>
    <t xml:space="preserve">The function getPriceFromAMM retrieves the price from the AMM, but it has some potential for price manipulation. The contract checks if the output amount is within a predefined range (UPDATE_MIN_PEG_AMOUNT and UPDATE_MAX_PEG_AMOUNT) before updating the token price. An attacker could manipulate the price in the AMM by placing large orders to force the output amount outside of the predefined range, causing the contract to not update the price. This manipulation could lead to incorrect pricing data being used in the smart contract.</t>
  </si>
  <si>
    <t xml:space="preserve">setLiquidationPath</t>
  </si>
  <si>
    <t xml:space="preserve">The function setLiquidationPath sets the liquidation path from a given token to the current liquidation peg. The path and tokens are provided externally and not verified within the contract, which may leave the contract vulnerable to price manipulation. An attacker could provide a custom path that includes a manipulated token price in the AMM or even a malicious AMM contract. This could lead to incorrect pricing data being used in the smart contract, impacting the liquidation process and other contract functions that rely on accurate pricing information.</t>
  </si>
  <si>
    <t xml:space="preserve">16_1</t>
  </si>
  <si>
    <t xml:space="preserve">recordTrade</t>
  </si>
  <si>
    <t xml:space="preserve">The function 'recordTrade' updates pricing information and uses the external oracle's latest answer through 'uint256 currentOraclePrice = oracle.latestAnswer();'. This exposes the contract to potential price oracle manipulation. An attacker could manipulate the oracle's data, thus influencing the pricing information in the smart contract, which could lead to incorrect funding rates and other consequences.</t>
  </si>
  <si>
    <t xml:space="preserve">fairPrice</t>
  </si>
  <si>
    <t xml:space="preserve">The 'fairPrice' function returns the fair price by using the external oracle's latest answer through 'oracle.latestAnswer()'. This exposes the contract to potential price oracle manipulation. An attacker could manipulate the oracle's data, which would lead to an incorrect fair price being returned, possibly affecting the decision-making process of the smart contract's users.</t>
  </si>
  <si>
    <t xml:space="preserve">16_2</t>
  </si>
  <si>
    <t xml:space="preserve">In the `recordTrade` function, the `tradePrice` is used to update the hourly tracer prices. Since the `tradePrice` is not directly fetched from the oracle but passed as a function argument, it may be manipulated by an attacker to influence the hourly prices.</t>
  </si>
  <si>
    <t xml:space="preserve">updatePrice</t>
  </si>
  <si>
    <t xml:space="preserve">The `updatePrice` function is called in the `recordTrade` function, and it also takes `marketPrice` and `oraclePrice` as input arguments. Since these arguments are passed down from the `recordTrade` function, they might be manipulated by an attacker to influence the hourly prices and eventually affect the funding rate and time value.</t>
  </si>
  <si>
    <t xml:space="preserve">The `fairPrice` function directly uses the `oracle.latestAnswer()` to calculate the fair price. If an attacker can manipulate the oracle's latest answer, it can result in an incorrect fair price. This can be mitigated by using a secure oracle implementation, but it's crucial to be aware of the possibility of oracle manipulation affecting the smart contract.</t>
  </si>
  <si>
    <t xml:space="preserve">get24HourPrices</t>
  </si>
  <si>
    <t xml:space="preserve">The `get24HourPrices` function calculates the average 24-hour price for both the tracer and oracle prices. If an attacker is able to manipulate the input prices in the `recordTrade` and `updatePrice` functions, they can influence the 24-hour average prices returned by this function. This would eventually impact the time value calculation and other functions that rely on the 24-hour average prices.</t>
  </si>
  <si>
    <t xml:space="preserve">getHourlyAvgTracerPrice</t>
  </si>
  <si>
    <t xml:space="preserve">The `getHourlyAvgTracerPrice` function calculates the hourly average price for a given tracer market. Since this function relies on the hourly tracer prices, which can be manipulated through the `recordTrade` and `updatePrice` functions, an attacker could influence the hourly average price for a tracer market.</t>
  </si>
  <si>
    <t xml:space="preserve">getHourlyAvgOraclePrice</t>
  </si>
  <si>
    <t xml:space="preserve">The `getHourlyAvgOraclePrice` function calculates the hourly average price for a given oracle market. This function relies on the hourly oracle prices, which can be manipulated through the `recordTrade` and `updatePrice` functions. An attacker could influence the hourly average price for an oracle market, affecting the overall price calculation and funding rates.</t>
  </si>
  <si>
    <t xml:space="preserve">16_3</t>
  </si>
  <si>
    <t xml:space="preserve">The 'recordTrade' function relies on an external price oracle (Chainlink) to fetch the current oracle price. The function calls 'oracle.latestAnswer()' which can be manipulated if the oracle's data sources are compromised or if the oracle itself is manipulated. This can lead to incorrect prices being recorded, and may affect the contract's other functions such as updating funding rates, insurance funding rates, or time values.</t>
  </si>
  <si>
    <t xml:space="preserve">20_1</t>
  </si>
  <si>
    <t xml:space="preserve">mintSynth</t>
  </si>
  <si>
    <t xml:space="preserve">The mintSynth function allows a pool to mint new synthetic tokens based on the amount of LP tokens added. However, there is no validation on the price oracles used to determine the value of the underlying assets. An attacker could manipulate the oracle to create an inaccurate price, allowing them to mint more synthetic tokens than they should be able to. This would result in an imbalanced pool and potential losses for other participants.</t>
  </si>
  <si>
    <t xml:space="preserve">burnSynth</t>
  </si>
  <si>
    <t xml:space="preserve">The burnSynth function allows users to burn synthetic tokens and receive LP tokens in return. Similar to mintSynth, the function relies on external price data to calculate the amount of LP tokens to return. If an attacker manipulates the oracle to provide an inaccurate price, they could receive more LP tokens than they should, causing an imbalance in the pool and potential losses for other participants.</t>
  </si>
  <si>
    <t xml:space="preserve">realise</t>
  </si>
  <si>
    <t xml:space="preserve">The realise function is designed to burn excess LP tokens when their value outweighs the value of the synthetic token supply. The function relies on external price data to calculate the value of LP tokens and synthetic tokens. If an attacker manipulates the oracle, they could cause the function to burn more or less LP tokens than necessary, leading to imbalances in the pool and potential losses for other participants.</t>
  </si>
  <si>
    <t xml:space="preserve">harvestSingle</t>
  </si>
  <si>
    <t xml:space="preserve">The smart contract fetches external data such as prices through the iUTILS contract. The iUTILS contract calculates prices based on the liquidity pools in the DAO, which are external to the SynthVault contract. The calcCurrentReward and calcReward functions, which are used by the harvestSingle function, rely on these external prices to calculate rewards for the user. If an attacker can manipulate the prices in the liquidity pools, they could potentially manipulate the rewards distribution, causing incorrect reward payouts. This could lead to the exploitation of the SynthVault contract and have an impact on the price of various tokens in the system.</t>
  </si>
  <si>
    <t xml:space="preserve">swapTo</t>
  </si>
  <si>
    <t xml:space="preserve">The 'swapTo' function allows swapping of tokens in the contract. The external data is fetched from the '_DAO()' function that returns the DAO's address, which is used to fetch the pool factory. However, price oracle manipulation could potentially occur if an attacker manipulates the price of the tokens in the pool, leading to an incorrect valuation of the tokens being swapped, causing potential losses for the users interacting with the smart contract. This is also applicable to other functions that use '_DAO()' to fetch pool-related information such as 'addLiquidity', 'zapLiquidity', 'removeLiquidity', etc.</t>
  </si>
  <si>
    <t xml:space="preserve">swapAssetToSynth</t>
  </si>
  <si>
    <t xml:space="preserve">The 'swapAssetToSynth' function allows swapping of assets to synthetic assets. It fetches data from the '_DAO()' function to obtain the pool factory and eventually the pool. Price oracle manipulation could occur if the price of the synthetic asset is manipulated, leading to an incorrect valuation of the synthetic asset being minted, causing potential losses for the users interacting with the smart contract.</t>
  </si>
  <si>
    <t xml:space="preserve">swapSynthToAsset</t>
  </si>
  <si>
    <t xml:space="preserve">The 'swapSynthToAsset' function allows swapping of synthetic assets to other assets. It fetches data from the '_DAO()' function to obtain the pool factory and eventually the pool. Price oracle manipulation could occur if the price of the synthetic asset is manipulated, leading to an incorrect valuation of the synthetic asset being burned, causing potential losses for the users interacting with the smart contract.</t>
  </si>
  <si>
    <t xml:space="preserve">calcSpotValueInBaseWithPool</t>
  </si>
  <si>
    <t xml:space="preserve">The function calcSpotValueInBaseWithPool calculates the value of an amount in the base token, given a pool. However, it relies on data fetched from external contracts (iPOOL(pool).baseAmount() and iPOOL(pool).tokenAmount()), which can be manipulated by malicious actors, potentially impacting the calculated spot value in the base token.</t>
  </si>
  <si>
    <t xml:space="preserve">calcSpotValueInTokenWithPool</t>
  </si>
  <si>
    <t xml:space="preserve">Similar to calcSpotValueInBaseWithPool, calcSpotValueInTokenWithPool calculates the value of an amount in a token given a pool, and it also relies on the same external data (iPOOL(pool).baseAmount() and iPOOL(pool).tokenAmount()). As a result, this function is also susceptible to price manipulation.</t>
  </si>
  <si>
    <t xml:space="preserve">calcSwapValueInBaseWithPool</t>
  </si>
  <si>
    <t xml:space="preserve">The function calcSwapValueInBaseWithPool calculates the value of an amount after a swap in the base token, given a pool. This function uses external data fetched from iPOOL(pool).baseAmount() and iPOOL(pool).tokenAmount(). Since these external data points can be manipulated, this function is vulnerable to price manipulation.</t>
  </si>
  <si>
    <t xml:space="preserve">calcSwapValueInTokenWithPool</t>
  </si>
  <si>
    <t xml:space="preserve">The function calcSwapValueInTokenWithPool calculates the value of an amount after a swap in a token, given a pool. It also relies on external data from iPOOL(pool).baseAmount() and iPOOL(pool).tokenAmount(), which makes it susceptible to price manipulation if these data points are manipulated.</t>
  </si>
  <si>
    <t xml:space="preserve">20_2</t>
  </si>
  <si>
    <t xml:space="preserve">The 'realise' function is vulnerable to price manipulation through oracle manipulation. This function calculates the value of the LP tokens (baseValueLP) and the value of the synths (baseValueSynth) by querying external contracts, which fetch data from external sources. If an attacker can manipulate these external sources, they can create a significant difference between baseValueLP and baseValueSynth, leading to the burning of an incorrect amount of LP tokens. This can result in an unfair distribution of tokens and impact the overall market.</t>
  </si>
  <si>
    <t xml:space="preserve">The 'mintSynth' function is also vulnerable to price manipulation through oracle manipulation. In this function, the received LP units are calculated using '_getAddedLPAmount' function. If the attacker can manipulate the price oracle used to determine the LP units, they can artificially inflate or deflate the value of the underlying assets. This can lead to incorrect minting of synthetic tokens and impact the market.</t>
  </si>
  <si>
    <t xml:space="preserve">In the `harvestSingle` function, the `calcCurrentReward` function is used to calculate the user's current reward. This function depends on the `calcReward` function, which in turn relies on external data fetched from the `iUTILS` contract to calculate the reward share. A price oracle manipulation in the `iUTILS` contract could potentially result in inaccurate reward calculations, which would affect the rewards distribution in the SynthVault contract.</t>
  </si>
  <si>
    <t xml:space="preserve">In the 'swapTo' function, tokens are swapped from one token to another, including the BASE token. This can lead to price manipulation if an attacker manipulates the prices of external tokens before interacting with the smart contract. Additionally, the contract relies on the prices provided by the liquidity pools created in the Pool contract. An attacker could potentially manipulate the prices in the liquidity pools through flash loans or by providing a large amount of tokens in a single transaction, which could impact the prices used in the 'swapTo' function.</t>
  </si>
  <si>
    <t xml:space="preserve">buyTo</t>
  </si>
  <si>
    <t xml:space="preserve">The 'buyTo' function allows a user to buy a token by transferring the BASE token. This function relies on the price provided by the Pool contract, which can be manipulated by an attacker through flash loans or providing large amounts of tokens in a single transaction. The manipulation of the price in the liquidity pools will affect the price used in the 'buyTo' function, leading to potential price manipulation.</t>
  </si>
  <si>
    <t xml:space="preserve">sellTo</t>
  </si>
  <si>
    <t xml:space="preserve">In the 'sellTo' function, users can sell their tokens in exchange for the BASE token. Similar to the 'buyTo' function, this function relies on the price provided by the Pool contract, which can be manipulated by an attacker. The price manipulation in the liquidity pools will impact the price used in the 'sellTo' function, leading to potential price manipulation.</t>
  </si>
  <si>
    <t xml:space="preserve">The 'swapAssetToSynth' function allows users to swap an asset to a synth token. This function relies on the prices provided by the Pool contract and the synth tokens. An attacker could potentially manipulate the prices in the liquidity pools and synth tokens, impacting the prices used in the 'swapAssetToSynth' function, leading to potential price manipulation.</t>
  </si>
  <si>
    <t xml:space="preserve">The 'swapSynthToAsset' function allows users to swap a synth token to an asset. Similar to the 'swapAssetToSynth' function, this function relies on the prices provided by the Pool contract and the synth tokens. An attacker could potentially manipulate the prices in the liquidity pools and synth tokens, impacting the prices used in the 'swapSynthToAsset' function, leading to potential price manipulation.</t>
  </si>
  <si>
    <t xml:space="preserve">The calcSpotValueInBaseWithPool function calculates the value of a token amount in the base token by using the pool's baseAmount and tokenAmount. A potential price manipulation could occur if an attacker can manipulate the baseAmount or tokenAmount of the pool, which would subsequently affect the calculated value.</t>
  </si>
  <si>
    <t xml:space="preserve">Similarly to the calcSpotValueInBaseWithPool function, the calcSpotValueInTokenWithPool function calculates the value of a base token amount in the token by using the pool's baseAmount and tokenAmount. Price manipulation is also possible here if an attacker can manipulate the baseAmount or tokenAmount of the pool, affecting the calculated value.</t>
  </si>
  <si>
    <t xml:space="preserve">The calcSwapValueInBaseWithPool function calculates the output of swapping a token amount to the base token using the pool's baseAmount and tokenAmount. If an attacker can manipulate the baseAmount or tokenAmount of the pool, it would affect the swap output, leading to price manipulation.</t>
  </si>
  <si>
    <t xml:space="preserve">The calcSwapValueInTokenWithPool function calculates the output of swapping a base token amount to the token using the pool's baseAmount and tokenAmount. Just like the previous functions, price manipulation can occur if an attacker can manipulate the baseAmount or tokenAmount of the pool, affecting the swap output.</t>
  </si>
  <si>
    <t xml:space="preserve">20_3</t>
  </si>
  <si>
    <t xml:space="preserve">The mintSynth function mints synthetic tokens based on the received LP tokens. However, the contract relies on external data fetched from the DAO's UTILS contract (iUTILS) to calculate the actual value of the synthetic tokens to mint. An attacker could potentially manipulate the price oracle used by the UTILS contract to impact the minted synthetic tokens' value.</t>
  </si>
  <si>
    <t xml:space="preserve">Similar to the mintSynth function, the burnSynth function relies on external data fetched from the DAO's UTILS contract to calculate the value of synthetic tokens to burn. An attacker could manipulate the price oracle used by the UTILS contract, which would impact the number of synthetic tokens and LP tokens being burned.</t>
  </si>
  <si>
    <t xml:space="preserve">The realise function calculates the value of LP tokens and synthetic tokens using external data fetched from the DAO's UTILS contract. It then burns the premium of the LP tokens if the LP tokens' value exceeds the synthetic tokens' value. An attacker could manipulate the price oracle used by the UTILS contract, impacting the values of the LP and synthetic tokens, and potentially causing an incorrect burning of LP tokens.</t>
  </si>
  <si>
    <t xml:space="preserve">The smart contract relies on external data fetched via iUTILS(_DAO().UTILS()).calcSpotValueInBase(iSYNTH(_synth).LayerONE(), _amount) to determine the weight of user's deposit and the value of the reward. Since the weight calculation depends on the price of the underlying asset (LayerONE token) fetched from an external oracle, a malicious actor with the ability to manipulate the oracle can influence the weight calculation and, consequently, the rewards distribution in the SynthVault.</t>
  </si>
  <si>
    <t xml:space="preserve">swap</t>
  </si>
  <si>
    <t xml:space="preserve">In the swap function, external price data is fetched from the pool contracts. If an attacker can manipulate the price of tokens in these pools, they can create artificial arbitrage opportunities and exploit them, leading to incorrect token prices and potential losses for other users.</t>
  </si>
  <si>
    <t xml:space="preserve">calcSwapOutput</t>
  </si>
  <si>
    <t xml:space="preserve">The 'calcSwapOutput' function calculates the output of a swap based on the input amount, the token reserves, and the base reserves. The function uses the formula `y = (x * X * Y) / (x + X)^2`. An attacker can manipulate the oracle price by manipulating the reserves of the pool, i.e., changing the values of X and Y, which will affect the swap output.</t>
  </si>
  <si>
    <t xml:space="preserve">calcSwapFee</t>
  </si>
  <si>
    <t xml:space="preserve">The 'calcSwapFee' function calculates the swap fee based on the input amount, the token reserves, and the base reserves. The function uses the formula `y = (x * x * Y) / (x + X)^2`. Similar to the 'calcSwapOutput' function, an attacker can manipulate the oracle price by manipulating the reserves of the pool, i.e., changing the values of X and Y, which will affect the swap fee calculation.</t>
  </si>
  <si>
    <t xml:space="preserve">The 'calcSpotValueInBaseWithPool' function calculates the spot value of a token in the base currency using the pool address and the amount of the token. The function uses the formula `(amount * baseAmount) / tokenAmount`. An attacker can manipulate the price oracle by altering the baseAmount and tokenAmount values, affecting the spot value calculation.</t>
  </si>
  <si>
    <t xml:space="preserve">The 'calcSpotValueInTokenWithPool' function calculates the spot value of the base currency in the token using the pool address and the amount of the base currency. The function uses the formula `(amount * tokenAmount) / baseAmount`. Similar to the 'calcSpotValueInBaseWithPool' function, an attacker can manipulate the price oracle by altering the baseAmount and tokenAmount values, affecting the spot value calculation.</t>
  </si>
  <si>
    <t xml:space="preserve">23_1</t>
  </si>
  <si>
    <t xml:space="preserve">getRiskAdjustedPresentValue</t>
  </si>
  <si>
    <t xml:space="preserve">In the getRiskAdjustedPresentValue function, the oracle rate is used to calculate the present value of an fCash asset with risk adjustments. Since the oracle rate is fetched from an external source, manipulating the oracle rate would directly impact the calculated present value of an fCash asset in the smart contract, potentially affecting the overall valuation of the assets.</t>
  </si>
  <si>
    <t xml:space="preserve">getLiquidityTokenValue</t>
  </si>
  <si>
    <t xml:space="preserve">The getLiquidityTokenValue function calculates the asset cash claim and the present value of the fCash asset (if it exists) using the market oracle rate. As the market.oracleRate is fetched from an external source, price manipulation could occur if the oracle rate is manipulated. The manipulated oracle rate will affect the present value calculations for the fCash assets.</t>
  </si>
  <si>
    <t xml:space="preserve">getNetCashGroupValue</t>
  </si>
  <si>
    <t xml:space="preserve">The getNetCashGroupValue function calculates the present value of assets in the cash group using the oracle rate fetched from the cash group through the calculateOracleRate method. This external dependency on the oracle rate means that if the oracle rate is manipulated, the present value calculations for the assets in the cash group would be affected, resulting in potential price manipulation.</t>
  </si>
  <si>
    <t xml:space="preserve">23_3</t>
  </si>
  <si>
    <t xml:space="preserve">The `getNetCashGroupValue` function indirectly uses external data through the `cashGroup.calculateOracleRate` function, which fetches the oracle rate for a given maturity and block time. This oracle rate is then used to calculate the risk-adjusted present value of an fCash asset within the function. Since the oracle rate comes from an external source, it could potentially be manipulated, leading to incorrect calculations and potentially causing an impact on the smart contract's overall operation.</t>
  </si>
  <si>
    <t xml:space="preserve">The `getLiquidityTokenValue` function also uses external data through the `market.oracleRate`, which is loaded in the function using `cashGroup.loadMarket` function. The market oracle rate is then used to calculate the present value of the fCash claim or the risk-adjusted present value. As with the previous function, the oracle rate comes from an external source and could be manipulated, affecting the calculations within the smart contract.</t>
  </si>
  <si>
    <t xml:space="preserve">23_2</t>
  </si>
  <si>
    <t xml:space="preserve">The `getNetCashGroupValue` function calculates the present value of assets and underlying assets by calling `getLiquidityTokenValue` and `getRiskAdjustedPresentValue`. Both of these functions depend on oracle rates provided by the `cashGroup.calculateOracleRate` function. A potential attack vector for price manipulation is through the oracle rates used in these calculations. If an attacker can manipulate the oracle rates, they can influence the value of the assets and underlying assets in the smart contract.</t>
  </si>
  <si>
    <t xml:space="preserve">42_1</t>
  </si>
  <si>
    <t xml:space="preserve">distributeMochi</t>
  </si>
  <si>
    <t xml:space="preserve">The distributeMochi function calls the internal functions _buyMochi and _shareMochi. The _buyMochi function fetches external data from the Uniswap router to swap USDM for Mochi tokens. Since Uniswap uses an automated market maker model, it is vulnerable to price manipulation attacks, such as sandwich attacks or front-running. This can impact the price of Mochi tokens when they are being bought in this function, potentially leading to losses for the smart contract.</t>
  </si>
  <si>
    <t xml:space="preserve">_buyMochi</t>
  </si>
  <si>
    <t xml:space="preserve">In the _buyMochi function, the smart contract fetches external data from the Uniswap router to swap USDM for Mochi tokens. As mentioned earlier, since Uniswap uses an automated market maker model, it is vulnerable to price manipulation attacks. An attacker can manipulate the price oracle by trading large volumes of tokens right before or after this function is called, which can lead to incorrect token prices and affect the outcome of the swap.</t>
  </si>
  <si>
    <t xml:space="preserve">_shareMochi</t>
  </si>
  <si>
    <t xml:space="preserve">In the _shareMochi function, the smart contract fetches external data from the Mochi token balance to distribute Mochi to vMochi Vault and veCRV Holders. Although there isn't a direct price oracle manipulation in this function, if the price oracle is manipulated in the _buyMochi function, it will affect the Mochi token balance and the amounts distributed in this function. This can lead to incorrect distribution of rewards and losses for the participants in the smart contract.</t>
  </si>
  <si>
    <t xml:space="preserve">veCRVInitialize</t>
  </si>
  <si>
    <t xml:space="preserve">The veCRVInitialize function calls the internal function _buyCRV to swap USDM for CRV tokens using the Uniswap router. As Uniswap relies on an automated market maker model, it is vulnerable to price manipulation attacks such as sandwich attacks or front-running. This can impact the price of CRV tokens when they are being bought in this function, potentially leading to losses for the smart contract.</t>
  </si>
  <si>
    <t xml:space="preserve">_buyCRV</t>
  </si>
  <si>
    <t xml:space="preserve">In the _buyCRV function, the smart contract fetches external data from the Uniswap router to swap USDM for CRV tokens. Since Uniswap uses an automated market maker model, it is vulnerable to price manipulation attacks. An attacker can manipulate the price oracle by trading large volumes of tokens right before or after this function is called, which can lead to incorrect token prices and affect the outcome of the swap.</t>
  </si>
  <si>
    <t xml:space="preserve">veCRVlock</t>
  </si>
  <si>
    <t xml:space="preserve">The veCRVlock function calls the internal functions _buyCRV and _lockCRV. Although there isn't a direct price oracle manipulation in the _lockCRV function, the _buyCRV function is vulnerable to price manipulation attacks, as explained earlier. If the price oracle is manipulated in the _buyCRV function, it will affect the CRV token balance and the amounts locked in the veCRVlock function. This can lead to incorrect locking of funds and losses for the participants in the smart contract.</t>
  </si>
  <si>
    <t xml:space="preserve">42_2</t>
  </si>
  <si>
    <t xml:space="preserve">The distributeMochi function is responsible for buying Mochi with the mochiShare, which is executed through the _buyMochi internal function. This process fetches price data from Uniswap by using the IUniswapV2Router02's swapExactTokensForTokens function. An attacker can manipulate the price of the Mochi token on Uniswap by executing a sandwich attack, for instance, by placing large buy and sell orders around the target transaction. This manipulation can lead to an incorrect price feed, which could result in the FeePoolV0 contract buying Mochi at an inflated or deflated price.</t>
  </si>
  <si>
    <t xml:space="preserve">The distributeMochi function also shares the bought Mochi tokens between the vMochi vault and the crvVoterRewardPool, which is executed through the _shareMochi internal function. The price manipulation mentioned in the first sequence can impact the distribution of Mochi tokens to these pools. If the Mochi token price is manipulated, the contract might distribute an incorrect amount of tokens to the vMochi vault and crvVoterRewardPool, leading to potentially unfair allocations for users participating in these pools.</t>
  </si>
  <si>
    <t xml:space="preserve">The veCRVInitialize function calls the _buyCRV internal function to buy CRV tokens with veCRVShare. This function fetches price data from Uniswap by using the IUniswapV2Router02's swapExactTokensForTokens function. An attacker can manipulate the price of the CRV token on Uniswap by executing a sandwich attack, for instance, by placing large buy and sell orders around the target transaction. This manipulation can lead to an incorrect price feed, which could result in the MochiTreasuryV0 contract buying CRV at an inflated or deflated price.</t>
  </si>
  <si>
    <t xml:space="preserve">The veCRVlock function calls the _buyCRV internal function to buy CRV tokens with veCRVShare before locking them in the veCrv contract. The price manipulation mentioned in the first sequence can impact the amount of CRV tokens bought and subsequently locked. If the CRV token price is manipulated, the contract might lock an incorrect amount of tokens in the veCrv contract, leading to potentially unfair allocations for users participating in the system.</t>
  </si>
  <si>
    <t xml:space="preserve">42_3</t>
  </si>
  <si>
    <t xml:space="preserve">In the distributeMochi function, the contract is using the Uniswap V2 router to swap USDM tokens for Mochi tokens. Since the contract relies on the Uniswap V2 router for obtaining Mochi tokens, an attacker can potentially manipulate the price oracle by placing large trades to skew the price on Uniswap before calling the distributeMochi function. This would allow the attacker to buy Mochi tokens at a manipulated price, which could lead to an unfair distribution of Mochi tokens.</t>
  </si>
  <si>
    <t xml:space="preserve">The _buyMochi function is also susceptible to price oracle manipulation for the same reasons mentioned above for the distributeMochi function. It relies on the Uniswap V2 router to swap USDM tokens for Mochi tokens, which could be manipulated by an attacker through large trades on Uniswap. This would allow the attacker to obtain Mochi tokens at an artificially skewed price.</t>
  </si>
  <si>
    <t xml:space="preserve">In the veCRVInitialize function, the contract uses the Uniswap V2 router to swap USDM tokens for CRV tokens in the _buyCRV function. Since the contract relies on the Uniswap V2 router for obtaining CRV tokens, an attacker can potentially manipulate the price oracle by placing large trades to skew the price on Uniswap before calling the veCRVInitialize function. This would allow the attacker to buy CRV tokens at a manipulated price, which could lead to an unfair distribution of CRV tokens.</t>
  </si>
  <si>
    <t xml:space="preserve">The veCRVlock function is also susceptible to price oracle manipulation for the same reasons mentioned above for the veCRVInitialize function. It relies on the Uniswap V2 router to swap USDM tokens for CRV tokens in the _buyCRV function, which could be manipulated by an attacker through large trades on Uniswap. This would allow the attacker to obtain CRV tokens at an artificially skewed price.</t>
  </si>
  <si>
    <t xml:space="preserve">52_1</t>
  </si>
  <si>
    <t xml:space="preserve">_swap</t>
  </si>
  <si>
    <t xml:space="preserve">The _swap function can be potentially manipulated due to its reliance on external data fetched from the pool contract. The pool contract calculates the conversion rate between assets, and if the pool contract is manipulated or has incorrect pricing data, it would lead to inaccurate conversions and potential price manipulation. The manipulation could occur due to oracle attacks or front-running in the pool contract, which would have a cascading effect on the smart contract relying on that data.</t>
  </si>
  <si>
    <t xml:space="preserve">52_2</t>
  </si>
  <si>
    <t xml:space="preserve">The _swap function allows swapping of assets within a single Vader pool pair or across two different Vader pairs. Price manipulation is possible if an attacker manages to manipulate the price of the native asset or foreign assets within the pool. Since the contract relies on the pool for calculating the price of tokens being swapped, a price oracle attack on the pool would have a direct impact on the VaderRouterV2 contract. This type of attack could lead to an incorrect token exchange rate and result in unintended gains or losses for users interacting with the contract.</t>
  </si>
  <si>
    <t xml:space="preserve">The mintSynth function mints synthetic assets based on the native asset amount deposited. The price for minting these synthetic assets is calculated using the current reserve values of native and foreign assets. However, there is no direct price oracle or external data fetched in this function. An attacker could manipulate the reserves or amounts deposited to influence the price of minted synthetic assets.</t>
  </si>
  <si>
    <t xml:space="preserve">The burnSynth function allows burning of synthetic assets, and the redeemed amount of native asset is calculated based on the current reserve values. Similar to the mintSynth function, there is no direct price oracle or external data fetched in this function. An attacker could manipulate the reserves or amounts burned to influence the price of the redeemed native asset.</t>
  </si>
  <si>
    <t xml:space="preserve">mintFungible</t>
  </si>
  <si>
    <t xml:space="preserve">The mintFungible function mints liquidity in fungible tokens. The liquidity issued is calculated using the current reserve values of native and foreign assets. As with the previous functions, there is no direct price oracle or external data fetched in this function. An attacker could manipulate the reserves or amounts deposited to influence the liquidity minted.</t>
  </si>
  <si>
    <t xml:space="preserve">burnFungible</t>
  </si>
  <si>
    <t xml:space="preserve">The burnFungible function allows burning of liquidity issued in fungible tokens, and the redeemed amounts of native and foreign assets are calculated based on the current reserve values. As with the previous functions, there is no direct price oracle or external data fetched in this function. An attacker could manipulate the reserves or amounts burned to influence the price of the redeemed assets.</t>
  </si>
  <si>
    <t xml:space="preserve">In the _swap function, the contract fetches the pool reserves and calculates the amountOut using the reserve amounts. Since the reserve amounts are fetched from the external VaderPool contract, it is possible for an attacker to manipulate the prices in that external contract, thus affecting the prices and the output of the swap function.</t>
  </si>
  <si>
    <t xml:space="preserve">calculateInGivenOut</t>
  </si>
  <si>
    <t xml:space="preserve">In the calculateInGivenOut function, the contract fetches the pool reserves and calculates the amountIn based on the given amountOut and the reserve amounts. Since the reserve amounts are fetched from the external VaderPool contract, it is possible for an attacker to manipulate the prices in that external contract, thus affecting the prices and the output of the calculateInGivenOut function.</t>
  </si>
  <si>
    <t xml:space="preserve">calculateOutGivenIn</t>
  </si>
  <si>
    <t xml:space="preserve">In the calculateOutGivenIn function, the contract fetches the pool reserves and calculates the amountOut based on the given amountIn and the reserve amounts. Since the reserve amounts are fetched from the external VaderPool contract, it is possible for an attacker to manipulate the prices in that external contract, thus affecting the prices and the output of the calculateOutGivenIn function.</t>
  </si>
  <si>
    <t xml:space="preserve">52_3</t>
  </si>
  <si>
    <t xml:space="preserve">_addLiquidity</t>
  </si>
  <si>
    <t xml:space="preserve">The _addLiquidity function calculates the amount of tokenA and tokenB to be added to the liquidity pool. Since the function does not use a price oracle to determine the relative value of tokenA and tokenB, it is susceptible to price manipulation attacks. An attacker can manipulate the prices of tokenA and tokenB externally, leading to incorrect valuations when adding liquidity.</t>
  </si>
  <si>
    <t xml:space="preserve">The _swap function is responsible for swapping tokens using the provided path. It determines the pool and the amounts to be swapped but does not use an oracle to fetch external price data. Instead, it relies on the pool's reserves to calculate the swap amount. Since the pool's reserves can be manipulated by external factors, the _swap function is vulnerable to price manipulation attacks.</t>
  </si>
  <si>
    <t xml:space="preserve">The calculateInGivenOut function calculates the input amount required for a specific output amount using the provided path. It does not use an oracle for fetching external price data and instead relies on the reserves of the pool. As mentioned earlier, the pool's reserves can be manipulated by external factors, leading to price manipulation in this function.</t>
  </si>
  <si>
    <t xml:space="preserve">Similar to calculateInGivenOut, the calculateOutGivenIn function calculates the output amount given a specific input amount using the provided path. It relies on the reserves of the pool and does not use an oracle for fetching external price data. This makes it vulnerable to price manipulation attacks due to the potential manipulation of pool reserves.</t>
  </si>
  <si>
    <t xml:space="preserve">The mintSynth function calculates the amount of synthetic assets to mint based on the native asset deposit and the current reserves. It uses the VaderMath.calculateSwap function for this calculation. However, there is no validation or control over the accuracy of the input data or external data sources, making the contract potentially susceptible to price oracle manipulation. An attacker could provide manipulated price data to exploit the contract and mint an incorrect amount of synthetic assets.</t>
  </si>
  <si>
    <t xml:space="preserve">Similar to the mintSynth function, the burnSynth function calculates the amount of native assets to redeem based on the synthetic asset amount and the current reserves using the VaderMath.calculateSwap function. The contract does not have any validation or control over the accuracy of the input data or external data sources, making it potentially susceptible to price oracle manipulation. An attacker could provide manipulated price data to exploit the contract and redeem an incorrect amount of native assets.</t>
  </si>
  <si>
    <t xml:space="preserve">The function _swap is prone to price manipulation as it does not have any checks for slippage tolerance. An attacker could manipulate the price of the tokens in the pool before the transaction is executed to get an unfair advantage or cause losses to the users. To mitigate this risk, it is recommended to add slippage tolerance checks in the _swap function.</t>
  </si>
  <si>
    <t xml:space="preserve">67_1</t>
  </si>
  <si>
    <t xml:space="preserve">investedAssets</t>
  </si>
  <si>
    <t xml:space="preserve">In the `investedAssets()` function, the `exchangeRateOf` function is called from the `exchangeRateFeeder` contract, which is an external contract that may be potentially manipulated by bad actors to influence the exchange rate. If the exchange rate is manipulated, it would affect the calculation of `ustAssets`, which in turn affects the calculation of the total amount of underlying assets.</t>
  </si>
  <si>
    <t xml:space="preserve">_swapUnderlyingToUst</t>
  </si>
  <si>
    <t xml:space="preserve">In the `_swapUnderlyingToUst()` function, the `curvePool.exchange_underlying()` function is called to swap the underlying token to UST. As the Curve pool is an external contract, it could be potentially manipulated by bad actors, affecting the conversion rate of the underlying token to UST. This would have a direct impact on the funds that are deposited into EthAnchor.</t>
  </si>
  <si>
    <t xml:space="preserve">_swapUstToUnderlying</t>
  </si>
  <si>
    <t xml:space="preserve">Similar to the `_swapUnderlyingToUst()` function, the `_swapUstToUnderlying()` function calls `curvePool.exchange_underlying()` to swap UST back to the underlying token. Again, as the Curve pool is an external contract, bad actors could manipulate the conversion rate. This would affect the amount of the underlying token the contract receives when swapping back from UST, which in turn influences the overall balance of the strategy.</t>
  </si>
  <si>
    <t xml:space="preserve">67_2</t>
  </si>
  <si>
    <t xml:space="preserve">In the `investedAssets` function, the price of aUstToken is fetched using the `exchangeRateFeeder.exchangeRateOf` function. If the external contract providing the exchange rate is manipulated, it can result in incorrect calculation of invested assets in the strategy. Also, the `curvePool.get_dy_underlying` function is used to calculate the underlying assets from UST, which is also dependent on external data provided by the Curve pool. If the Curve pool can be manipulated, this could lead to incorrect valuation of invested assets.</t>
  </si>
  <si>
    <t xml:space="preserve">67_3</t>
  </si>
  <si>
    <t xml:space="preserve">The `investedAssets()` function calculates the total amount of underlying assets in the contract by first fetching the latest exchange rate from the `exchangeRateFeeder` contract and then using the Curve pool's `get_dy_underlying()` function to convert UST assets back to the underlying currency. The potential for price manipulation exists if the `exchangeRateFeeder` contract or the Curve pool can be manipulated by an attacker to provide incorrect or skewed exchange rates. This could lead to inaccurate calculations of the total underlying assets in the strategy, potentially affecting the decisions made by the smart contract or its users.</t>
  </si>
  <si>
    <t xml:space="preserve">70_1</t>
  </si>
  <si>
    <t xml:space="preserve">cumulativePrices</t>
  </si>
  <si>
    <t xml:space="preserve">In the cumulativePrices function, prices are calculated based on the current reserves of native and foreign assets in the pool. An attacker could manipulate the reserves by executing a large trade, affecting the price ratio between the two assets. This could lead to inaccurate price data being returned by this function.</t>
  </si>
  <si>
    <t xml:space="preserve">The mintSynth function calculates the amount of Synth to be minted based on the deposited native asset and the current reserves. An attacker could manipulate the price by executing a large trade, impacting the reserves, and consequently, the amount of Synth minted. This could lead to unintended consequences for users of the Synth token.</t>
  </si>
  <si>
    <t xml:space="preserve">In the burnSynth function, the amount of native asset to be received when burning a Synth token is calculated based on the current reserves. Similar to the previous cases, an attacker could manipulate the price by executing a large trade, impacting the reserves, and consequently, the amount of native asset received. This could lead to unfair payouts for users burning their Synth tokens.</t>
  </si>
  <si>
    <t xml:space="preserve">The mintFungible function calculates the amount of liquidity to be minted based on the deposited native and foreign assets and the current reserves. An attacker could manipulate the price by executing a large trade, impacting the reserves, and consequently, the amount of liquidity minted. This could lead to unintended consequences for users providing liquidity to the pool.</t>
  </si>
  <si>
    <t xml:space="preserve">In the burnFungible function, the amounts of native and foreign assets to be received when burning liquidity tokens are calculated based on the current reserves. An attacker could manipulate the price by executing a large trade, impacting the reserves, and consequently, the amounts of native and foreign assets received. This could lead to unfair payouts for users burning their liquidity tokens.</t>
  </si>
  <si>
    <t xml:space="preserve">mint</t>
  </si>
  <si>
    <t xml:space="preserve">In the mint function, the price of VADER (vPrice) is fetched from the lbt contract using the getVaderPrice() function. If the price oracle in the lbt contract is manipulated, the number of USDV tokens minted could be inflated or deflated based on the manipulated VADER price.</t>
  </si>
  <si>
    <t xml:space="preserve">burn</t>
  </si>
  <si>
    <t xml:space="preserve">In the burn function, the price of USDV (uPrice) is fetched from the lbt contract using the getUSDVPrice() function. If the price oracle in the lbt contract is manipulated, the number of VADER tokens received in return for burning USDV tokens could be inflated or deflated based on the manipulated USDV price.</t>
  </si>
  <si>
    <t xml:space="preserve">70_2</t>
  </si>
  <si>
    <t xml:space="preserve">In the cumulativePrices function, external data is fetched from the pairInfo mapping, which stores reserve data for each foreignAsset. The function calculates the price0CumulativeLast and price1CumulativeLast based on the reserve data and the block timestamp. An attacker could potentially manipulate the reserves in the pairInfo mapping through the mintSynth, burnSynth, mintFungible, and burnFungible functions, which could lead to incorrect price calculations. Furthermore, an attacker might also try to manipulate block.timestamp, but this would be much more difficult and likely less effective.</t>
  </si>
  <si>
    <t xml:space="preserve">The mintSynth function calculates the amount of synth to be minted based on the nativeDeposit, reserveNative, and reserveForeign. An attacker could manipulate the amount of synth minted by changing the reserves through other functions like mintFungible and burnFungible, thus indirectly affecting the price.</t>
  </si>
  <si>
    <t xml:space="preserve">Similar to mintSynth, the burnSynth function calculates the amount of native tokens to be returned based on the synthAmount, reserveNative, and reserveForeign. An attacker could manipulate the reserves through other functions like mintFungible and burnFungible, indirectly affecting the price.</t>
  </si>
  <si>
    <t xml:space="preserve">The mintFungible function calculates the liquidity provided based on the nativeDeposit, foreignDeposit, reserveNative, and reserveForeign. An attacker could potentially manipulate the reserves through other functions like mintSynth and burnSynth, indirectly affecting the price.</t>
  </si>
  <si>
    <t xml:space="preserve">The burnFungible function calculates the amount of native and foreign tokens returned based on the liquidity, reserveNative, and reserveForeign. An attacker could manipulate the reserves through other functions like mintSynth and burnSynth, indirectly affecting the price.</t>
  </si>
  <si>
    <t xml:space="preserve">The mint function calculates the number of USDV tokens to be minted based on the vAmount argument (amount of VADER tokens) multiplied by the VADER token price fetched from the lbt.getVaderPrice() function. If the price oracle is manipulated, an attacker could artificially inflate or deflate the VADER token price, causing the mint function to issue an incorrect amount of USDV tokens.</t>
  </si>
  <si>
    <t xml:space="preserve">The burn function calculates the number of VADER tokens to be received based on the uAmount argument (amount of USDV tokens) multiplied by the USDV token price fetched from the lbt.getUSDVPrice() function. If the price oracle is manipulated, an attacker could artificially inflate or deflate the USDV token price, causing the burn function to return an incorrect amount of VADER tokens.</t>
  </si>
  <si>
    <t xml:space="preserve">70_3</t>
  </si>
  <si>
    <t xml:space="preserve">The function `cumulativePrices` calculates the price of the native asset (e.g., Ether) in terms of the foreign asset (e.g., an ERC20 token) based on the reserves stored in the contract. It calculates the price using the FixedPoint library, which may have rounding errors or limitations in precision. An attacker could manipulate the price by executing trades that exploit these rounding errors or limitations, leading to incorrect price calculations.</t>
  </si>
  <si>
    <t xml:space="preserve">The `mintSynth` function allows users to deposit native assets and receive synthetic tokens in return. The amount of synth tokens received is based on the current reserves of native and foreign assets, which could be manipulated by an attacker through several means, such as performing trades that create imbalances in the reserves or repeatedly depositing and withdrawing assets. This could result in users receiving an incorrect amount of synthetic tokens, either overvalued or undervalued, compared to the actual market price.</t>
  </si>
  <si>
    <t xml:space="preserve">The `burnSynth` function allows users to burn their synthetic tokens and receive native assets in return. Similar to `mintSynth`, the amount of native assets received is based on the current reserves of native and foreign assets. If the reserves are manipulated, users may receive an incorrect amount of native assets, either more or less than the actual market price.</t>
  </si>
  <si>
    <t xml:space="preserve">The `mintFungible` function allows users to deposit native and foreign assets to receive liquidity tokens. The amount of liquidity tokens received is based on the current reserves of native and foreign assets, which could be manipulated by an attacker through similar means as mentioned before, leading to users receiving an incorrect amount of liquidity tokens, either overvalued or undervalued, compared to the actual market price.</t>
  </si>
  <si>
    <t xml:space="preserve">The `burnFungible` function allows users to burn their liquidity tokens and receive native and foreign assets in return. Similar to `mintFungible`, the amount of native and foreign assets received is based on the current reserves of native and foreign assets. If the reserves are manipulated, users may receive an incorrect amount of native and foreign assets, either more or less than the actual market price.</t>
  </si>
  <si>
    <t xml:space="preserve">The mint function calculates the amount of USDV tokens to be minted based on the current VADER token price fetched from the Liquidity Based TWAP (LBT) pricing mechanism using the `lbt.getVaderPrice()` function. If an attacker can manipulate the price of VADER tokens in the LBT, they can potentially mint more USDV tokens than they should.</t>
  </si>
  <si>
    <t xml:space="preserve">The burn function calculates the amount of VADER tokens to be minted based on the current USDV token price fetched from the Liquidity Based TWAP (LBT) pricing mechanism using the `lbt.getUSDVPrice()` function. If an attacker can manipulate the price of USDV tokens in the LBT, they can potentially receive more VADER tokens than they should when burning USDV tokens.</t>
  </si>
  <si>
    <t xml:space="preserve">78_1</t>
  </si>
  <si>
    <t xml:space="preserve">purchasePyroFlan</t>
  </si>
  <si>
    <t xml:space="preserve">The function `purchasePyroFlan` in the given smart contract is prone to price manipulation, particularly due to the way it calculates the price using the balance of the Flan and Stablecoin tokens in the liquidity pool. Since the contract relies on the token balances instead of a price oracle, the opportunity for price manipulation through flash loans exists. An attacker could use a flash loan to artificially inflate or deflate the price before calling this function, which could lead to incorrect price calculations and unfair token distribution. Additionally, the contract uses the `config.acceptableHighestPrice` variable to prevent price manipulation, but this approach relies on the community's ability to set an appropriate circuit breaker, and it only checks for price manipulation after the liquidity pairs have already been minted.</t>
  </si>
  <si>
    <t xml:space="preserve">setEYEBasedAssetStake</t>
  </si>
  <si>
    <t xml:space="preserve">The function 'setEYEBasedAssetStake' allows users to stake assets, which increases their voting power in the DAO. The price of the asset is fetched using the balance of EYE tokens in the asset's contract. However, this approach might be susceptible to price manipulation, as an attacker can potentially manipulate the balance of EYE tokens in the asset's contract, which would directly affect the staking and voting process. This manipulation could lead to imbalanced voting power and decision-making within the DAO.</t>
  </si>
  <si>
    <t xml:space="preserve">burnAsset</t>
  </si>
  <si>
    <t xml:space="preserve">The 'burnAsset' function allows users to burn assets in exchange for newly created FATE tokens. The amount of FATE tokens received depends on the amount of EYE tokens held by the asset. This approach is vulnerable to price manipulation, as an attacker could potentially manipulate the balance of EYE tokens in the asset's contract to increase the FATE tokens received when burning assets. This manipulation could lead to an artificial increase in the user's voting power in the DAO, potentially compromising the decision-making process.</t>
  </si>
  <si>
    <t xml:space="preserve">78_2</t>
  </si>
  <si>
    <t xml:space="preserve">The `purchasePyroFlan` function takes stablecoin inputs, mints Flan and PyroFlan, and provides liquidity for Uniswap pairs to tilt the price of Flan higher. The current implementation uses the balance of tokens in Uniswap pairs to calculate the price, which is vulnerable to manipulation through flash loans or other techniques. This may result in artificial price increases for Flan and PyroFlan tokens. The function checks for price manipulation with the `acceptableHighestPrice` mapping, but this may not be sufficient to prevent all price manipulation attempts.</t>
  </si>
  <si>
    <t xml:space="preserve">The 'setEYEBasedAssetStake' function allows users to stake EYE-based assets to increase their daily FATE rewards. The function calculates the asset's clout (FATE rewards) based on the amount of EYE staked in the asset. The calculation of FATE rewards relies on the EYE balance of the asset, which is fetched from the contract. If an attacker can manipulate the EYE balance of an asset, they can potentially manipulate the FATE rewards calculation and impact the overall FATE distribution.</t>
  </si>
  <si>
    <t xml:space="preserve">The 'burnAsset' function allows users to burn assets and receive FATE rewards. The amount of FATE created depends on the amount of EYE held by the asset. An attacker who can manipulate the EYE balance of an asset can impact the FATE rewards calculation in the 'burnAsset' function, potentially leading to unfair FATE distribution.</t>
  </si>
  <si>
    <t xml:space="preserve">78_3</t>
  </si>
  <si>
    <t xml:space="preserve">The `purchasePyroFlan` function calculates the current price of Flan based on the balances of Flan and stablecoin in the Uniswap liquidity pool (flanLP). The contract then mints new Flan and adds liquidity to the pool, which results in a price tilt. The tilted price is calculated again based on the updated balances of Flan and stablecoin in the flanLP. There is a check in place to ensure that the tilted price is below the `acceptableHighestPrice` for the stablecoin to prevent price manipulation. However, this approach is still vulnerable to price manipulation through flash loans, as an attacker could manipulate the balances of Flan and stablecoin in the flanLP to artificially increase or decrease the price of Flan. This could be exploited to mint more PyroFlan than intended or disrupt the Flan ecosystem.</t>
  </si>
  <si>
    <t xml:space="preserve">The 'setEYEBasedAssetStake' function allows users to stake their assets and increase their daily fate rewards. The function calculates the amount of EYE tokens based on the staked asset and the user's selected strategy (directRoot or indirectTwoRootEye). However, there is a potential for price manipulation due to the lack of a reliable oracle to determine the EYE token's price. Since this function relies on the EYE token balance in the staking asset, an attacker could artificially inflate or deflate the EYE balance to manipulate the calculated rewards.</t>
  </si>
  <si>
    <t xml:space="preserve">The 'burnAsset' function allows users to burn their assets in exchange for fate tokens. The amount of fate tokens received depends on the EYE token balance of the burned asset. Similar to the 'setEYEBasedAssetStake' function, the lack of a reliable oracle to determine the EYE token's price makes this function susceptible to price manipulation. An attacker could manipulate the EYE token balance in the burned asset to receive more or less fate tokens than they should.</t>
  </si>
  <si>
    <t xml:space="preserve">83_1</t>
  </si>
  <si>
    <t xml:space="preserve">enableUnlock</t>
  </si>
  <si>
    <t xml:space="preserve">The function enableUnlock can only be called by the kpiOracle. If the kpiOracle is compromised, an attacker could manipulate when the users can withdraw their USDM tokens, which could potentially affect the price.</t>
  </si>
  <si>
    <t xml:space="preserve">provide</t>
  </si>
  <si>
    <t xml:space="preserve">The provide function, which can only be called by a guardian, allows for adding liquidity to the USDM-POOL3 curve pool. A malicious guardian could add or withhold liquidity to manipulate the pool's price.</t>
  </si>
  <si>
    <t xml:space="preserve">removeLiquidity</t>
  </si>
  <si>
    <t xml:space="preserve">The removeLiquidity function, also only callable by a guardian, allows for removing liquidity from the USDM-POOL3 curve pool. A malicious guardian could remove liquidity to manipulate the pool's price.</t>
  </si>
  <si>
    <t xml:space="preserve">83_2</t>
  </si>
  <si>
    <t xml:space="preserve">In the 'provide' function, the contract takes the USDM token balance and provides liquidity to the usdm3crv pool by matching USDM and pool3 amounts in a 1:1 ratio. A malicious actor with control over the kpiOracle can manipulate the price of the USDM token and influence the amount of liquidity provided to the pool.</t>
  </si>
  <si>
    <t xml:space="preserve">The 'removeLiquidity' function allows a guardian to remove liquidity from the usdm3crv pool by burning LP tokens. A malicious actor with control over the kpiOracle can manipulate the price of the USDM token to influence the amount of liquidity removed from the pool.</t>
  </si>
  <si>
    <t xml:space="preserve">83_3</t>
  </si>
  <si>
    <t xml:space="preserve">The `enableUnlock` function allows the KPI oracle to enable withdrawals of the USDM token. If the KPI oracle is malicious or compromised, it may enable withdrawals at an unfavorable time, thus potentially manipulating the price.</t>
  </si>
  <si>
    <t xml:space="preserve">The `provide` function adds liquidity to the usdm3crv pool, which may be used to manipulate the price of USDM or pool3 tokens. An attacker could potentially add a large amount of liquidity, causing the price to change in their favor.</t>
  </si>
  <si>
    <t xml:space="preserve">The `removeLiquidity` function allows the removal of liquidity from the usdm3crv pool, which can also potentially affect the price of USDM or pool3 tokens. If a guardian were to remove a large amount of liquidity, it could cause the price to move in an unfavorable direction for other users.</t>
  </si>
  <si>
    <t xml:space="preserve">deposit</t>
  </si>
  <si>
    <t xml:space="preserve">The `deposit` function allows users to deposit USDM and pool3 tokens into the contract. A malicious user may deposit a large amount of tokens to manipulate the price or liquidity in the contract.</t>
  </si>
  <si>
    <t xml:space="preserve">withdraw</t>
  </si>
  <si>
    <t xml:space="preserve">The `withdraw` function allows users to withdraw USDM and pool3 tokens from the contract when withdrawals are enabled. An attacker may withdraw a large amount of tokens to manipulate the price or liquidity in the contract.</t>
  </si>
  <si>
    <t xml:space="preserve">193_1</t>
  </si>
  <si>
    <t xml:space="preserve">price</t>
  </si>
  <si>
    <t xml:space="preserve">The price function calculates the price of the fractional tokens based on the base token reserves and the fractional token reserves. It uses the formula: price = (baseTokenReserves * ONE) / fractionalTokenReserves. The base token reserves are fetched using the _baseTokenReserves() function, and the fractional token reserves are fetched using the balanceOf[address(this)] value. Since these values are internal to the contract and can be manipulated by the functions that change the baseTokenReserves and fractionalTokenReserves (like add, remove, buy, sell, wrap, unwrap), an attacker could potentially manipulate the price by calling these functions with a specific strategy.</t>
  </si>
  <si>
    <t xml:space="preserve">193_2</t>
  </si>
  <si>
    <t xml:space="preserve">The price function calculates the price of the fractional tokens using the baseTokenReserves and fractionalTokenReserves. It's calculated as (_baseTokenReserves() * ONE) / fractionalTokenReserves(). Since the contract fetches the baseTokenReserves and fractionalTokenReserves internally from the contract balances, manipulation of the reserves can impact the price. If an attacker can manipulate the token balances in the contract, they can influence the price calculation.</t>
  </si>
  <si>
    <t xml:space="preserve">buyQuote, sellQuote</t>
  </si>
  <si>
    <t xml:space="preserve">The buyQuote and sellQuote functions are used to estimate the input/output amount for a trade. They are calculated using the baseTokenReserves and fractionalTokenReserves. For buyQuote, the calculation is (outputAmount * 1000 * baseTokenReserves()) / ((fractionalTokenReserves() - outputAmount) * 997). For sellQuote, the calculation is (inputAmount * 997 * baseTokenReserves()) / ((fractionalTokenReserves() * 1000) + (inputAmount * 997)). In both cases, manipulation of the baseTokenReserves or fractionalTokenReserves can influence the estimated input or output amounts for a trade.</t>
  </si>
  <si>
    <t xml:space="preserve">193_3</t>
  </si>
  <si>
    <t xml:space="preserve">The price function calculates the price of the fractional tokens based on the reserves of the base token and the fractional tokens. It is defined as: (_baseTokenReserves() * ONE) / fractionalTokenReserves(). Since the contract allows users to add and remove liquidity, buy, and sell tokens, they can influence the reserves of the base and fractional tokens. Consequently, users can manipulate the price by influencing the reserves through these functions.</t>
  </si>
  <si>
    <t xml:space="preserve">Certainty</t>
  </si>
  <si>
    <t xml:space="preserve">comments</t>
  </si>
  <si>
    <t xml:space="preserve">Note</t>
  </si>
  <si>
    <t xml:space="preserve">Link</t>
  </si>
  <si>
    <t xml:space="preserve">GPT Expla</t>
  </si>
  <si>
    <t xml:space="preserve">M-08</t>
  </si>
  <si>
    <t xml:space="preserve">low risk</t>
  </si>
  <si>
    <t xml:space="preserve">https://code4rena.com/reports/2021-04-marginswap/#m-08-priceaware-uses-prices-from-getamountsout</t>
  </si>
  <si>
    <t xml:space="preserve">H-03</t>
  </si>
  <si>
    <t xml:space="preserve">high risk</t>
  </si>
  <si>
    <t xml:space="preserve">https://code4rena.com/reports/2021-04-marginswap/#h-03-price-feed-can-be-manipulated</t>
  </si>
  <si>
    <t xml:space="preserve">M-02</t>
  </si>
  <si>
    <t xml:space="preserve">https://code4rena.com/reports/2021-04-marginswap/#m-02-missing-checks-if-pairs-equal-tokens</t>
  </si>
  <si>
    <t xml:space="preserve">very low risk</t>
  </si>
  <si>
    <t xml:space="preserve">external data</t>
  </si>
  <si>
    <t xml:space="preserve">H-01</t>
  </si>
  <si>
    <t xml:space="preserve">https://code4rena.com/reports/2021-06-tracer/#h-01-wrong-trading-pricing-calculations</t>
  </si>
  <si>
    <t xml:space="preserve">high risk, affected by above</t>
  </si>
  <si>
    <t xml:space="preserve">https://code4rena.com/reports/2021-06-tracer/#h-02-wrong-trading-pricing-calculations</t>
  </si>
  <si>
    <t xml:space="preserve">https://code4rena.com/reports/2021-06-tracer/#h-03-wrong-trading-pricing-calculations</t>
  </si>
  <si>
    <t xml:space="preserve">H-09</t>
  </si>
  <si>
    <t xml:space="preserve">https://code4rena.com/reports/2021-07-spartan/#h-09-arbitrary-synth-mintburn-from-pool</t>
  </si>
  <si>
    <t xml:space="preserve">H-05</t>
  </si>
  <si>
    <t xml:space="preserve">https://code4rena.com/reports/2021-07-spartan/#h-05-synth-realise-is-vulnerable-to-flash-loan-attacks</t>
  </si>
  <si>
    <t xml:space="preserve">https://code4rena.com/reports/2021-07-spartan/#m-08-synthvault-deposit-lockup-bypass</t>
  </si>
  <si>
    <t xml:space="preserve">L-11</t>
  </si>
  <si>
    <t xml:space="preserve">https://code4rena.com/reports/2021-07-spartan/#l-11-inconsistent-value-of-burnsynth-between-pool-and-synth</t>
  </si>
  <si>
    <t xml:space="preserve">public function with users' inputs</t>
  </si>
  <si>
    <t xml:space="preserve">H-10</t>
  </si>
  <si>
    <t xml:space="preserve">https://code4rena.com/reports/2021-08-notional/#h-10-liquidity-token-value-can-be-manipulated</t>
  </si>
  <si>
    <t xml:space="preserve">https://code4rena.com/reports/2021-11-vader/#h-01-minting-and-burning-synths-exposes-users-to-unlimited-slippage</t>
  </si>
  <si>
    <t xml:space="preserve">internal function, and amounts are provided by users.</t>
  </si>
  <si>
    <t xml:space="preserve">together with front-running</t>
  </si>
  <si>
    <t xml:space="preserve">block.timestamp is used.</t>
  </si>
  <si>
    <t xml:space="preserve">Sandwich attack</t>
  </si>
  <si>
    <t xml:space="preserve">https://code4rena.com/reports/2022-01-behodler/#h-05-flash-loan-price-manipulation-in-purchasepyroflan</t>
  </si>
  <si>
    <t xml:space="preserve">H-07</t>
  </si>
  <si>
    <t xml:space="preserve">https://code4rena.com/reports/2022-01-behodler/#h-07-lp-pricing-formula-is-vulnerable-to-flashloan-manipulation</t>
  </si>
  <si>
    <t xml:space="preserve">very low risk, and out of scope</t>
  </si>
  <si>
    <t xml:space="preserve">already take care</t>
  </si>
  <si>
    <t xml:space="preserve">M-05</t>
  </si>
  <si>
    <t xml:space="preserve">https://code4rena.com/reports/2022-12-caviar/#m-05-pair-price-may-be-manipulated-by-direct-transfers</t>
  </si>
  <si>
    <t xml:space="preserve">bugs</t>
  </si>
  <si>
    <t xml:space="preserve">proj</t>
  </si>
  <si>
    <t xml:space="preserve">tests</t>
  </si>
  <si>
    <t xml:space="preserve">seq</t>
  </si>
  <si>
    <t xml:space="preserve">functions</t>
  </si>
  <si>
    <t xml:space="preserve">bug type</t>
  </si>
  <si>
    <t xml:space="preserve">justify</t>
  </si>
  <si>
    <t xml:space="preserve">notes</t>
  </si>
  <si>
    <t xml:space="preserve">explanation</t>
  </si>
  <si>
    <t xml:space="preserve">Column1</t>
  </si>
  <si>
    <t xml:space="preserve">adjustAmounts</t>
  </si>
  <si>
    <t xml:space="preserve">Underflow</t>
  </si>
  <si>
    <t xml:space="preserve">In the `adjustAmounts` function, there is a statement `account.holdings[fromToken] = account.holdings[fromToken] - soldAmount;` which can potentially cause an underflow error if `soldAmount` is greater than `account.holdings[fromToken]`. Solidity will not throw an exception on underflow or overflow. Instead, it will silently give an incorrect result.</t>
  </si>
  <si>
    <t xml:space="preserve">setLendingCap, setLendingBuffer, setHourlyYieldAPR</t>
  </si>
  <si>
    <t xml:space="preserve">Lack of Input Validation</t>
  </si>
  <si>
    <t xml:space="preserve">Without proper validation, these functions are prone to misuse or bugs resulting from extreme input values.</t>
  </si>
  <si>
    <t xml:space="preserve">applyBorrowInterest, registerBorrow, payOff</t>
  </si>
  <si>
    <t xml:space="preserve">Potential Overflow and Underflow</t>
  </si>
  <si>
    <t xml:space="preserve">These functions perform arithmetic operations without explicitly checking for overflows or underflows.</t>
  </si>
  <si>
    <t xml:space="preserve">N/A</t>
  </si>
  <si>
    <t xml:space="preserve">Lack of Events</t>
  </si>
  <si>
    <t xml:space="preserve">The contract does not emit events, making it difficult to monitor state changes.</t>
  </si>
  <si>
    <t xml:space="preserve">deactivateIssuer</t>
  </si>
  <si>
    <t xml:space="preserve">Inaccurate Error Messages</t>
  </si>
  <si>
    <t xml:space="preserve">The error message does not correctly reflect the action being performed.</t>
  </si>
  <si>
    <t xml:space="preserve">Implicit Visibility in State Variables</t>
  </si>
  <si>
    <t xml:space="preserve">Not declaring visibility explicitly can lead to confusion about how and where state variables can be accessed.</t>
  </si>
  <si>
    <t xml:space="preserve">`_makeHourlyBond`</t>
  </si>
  <si>
    <t xml:space="preserve">Arithmetic Overflow/Underflow</t>
  </si>
  <si>
    <t xml:space="preserve">In the `_makeHourlyBond` function, the `bond.amount` and `lendingMeta[issuer].totalLending` are incremented by `amount`. In Solidity, if these variables are already at their maximum value, this addition could lead to an overflow, resetting the value to zero, which could lead to erroneous behavior. The same issue applies for underflow when subtracting `amount` in the `_withdrawHourlyBond` function.</t>
  </si>
  <si>
    <t xml:space="preserve">`updateHourlyBondAmount`</t>
  </si>
  <si>
    <t xml:space="preserve">The same issue applies in the `updateHourlyBondAmount` function where `deltaAmount = bond.amount - oldAmount` and `lendingMeta[issuer].totalLending += deltaAmount;` could cause an overflow or underflow.</t>
  </si>
  <si>
    <t xml:space="preserve">`getUpdatedHourlyYield`</t>
  </si>
  <si>
    <t xml:space="preserve">Unchecked External Call</t>
  </si>
  <si>
    <t xml:space="preserve">The function `getUpdatedHourlyYield` involves a complex calculation and updates to various parameters. If any of these internal calls fail, it will stop the execution of the contract. This could be mitigated by using checks, effects, and interactions pattern in Solidity.</t>
  </si>
  <si>
    <t xml:space="preserve">`calcCumulativeYieldFP`</t>
  </si>
  <si>
    <t xml:space="preserve">Uncontrolled loop iteration</t>
  </si>
  <si>
    <t xml:space="preserve">In the function `calcCumulativeYieldFP`, there is a loop that runs based on the `hoursDelta` value which is calculated from user input `timeDelta`. If the `hoursDelta` value is large, the loop may consume an excessive amount of gas, which may result in an out-of-gas error. It may also allow for a potential Denial-of-Service (DoS) attack.</t>
  </si>
  <si>
    <t xml:space="preserve">`getUpdatedHourlyYield`, `calcCumulativeYieldFP`</t>
  </si>
  <si>
    <t xml:space="preserve">Magic numbers</t>
  </si>
  <si>
    <t xml:space="preserve">In several places in the code, there are hardcoded values (like `FP32`, `1 hours`, `100`). These are often referred to as "magic numbers" and are generally discouraged because they can make code harder to understand and maintain. It would be better to declare these as named constants at the top of the contract.</t>
  </si>
  <si>
    <t xml:space="preserve">_withdrawHourlyBond</t>
  </si>
  <si>
    <t xml:space="preserve">Underflow vulnerability</t>
  </si>
  <si>
    <t xml:space="preserve">In function _withdrawHourlyBond, there is a potential underflow when subtracting the 'amount' from 'bond.amount'. If 'amount' is greater than 'bond.amount', this operation will underflow and lead to an incorrect calculation. We need to add a require statement to ensure 'amount' is less than or equal to 'bond.amount'.</t>
  </si>
  <si>
    <t xml:space="preserve">calcCumulativeYieldFP</t>
  </si>
  <si>
    <t xml:space="preserve">Incorrect order of calculations</t>
  </si>
  <si>
    <t xml:space="preserve">The calculation `yieldAccumulator.accumulatorFP * yieldAccumulator.hourlyYieldFP * secondsDelta` in the function `calcCumulativeYieldFP` might lead to overflow due to incorrect order of calculations. The multiplication operation should be done after the division to avoid potential overflow.</t>
  </si>
  <si>
    <t xml:space="preserve">Potential Reentrancy</t>
  </si>
  <si>
    <t xml:space="preserve">In function _withdrawHourlyBond, before reducing the bond.amount and lendingMeta[issuer].totalLending, it is better to transfer the amount to the user (in a real use-case scenario where funds are transferred). If the transfer happens after the state update and it calls back into this contract, it could potentially cause a reentrancy attack. This is more of a theoretical point as this contract does not currently perform any transfers. However, if it were to be extended to do so, this could become a problem.</t>
  </si>
  <si>
    <t xml:space="preserve">N/A (general issue)</t>
  </si>
  <si>
    <t xml:space="preserve">Time manipulation</t>
  </si>
  <si>
    <t xml:space="preserve">The contract relies heavily on block.timestamp (alias "now") for calculations. This can potentially be manipulated by miners to a certain degree, which could impact the calculations and operations within the contract.</t>
  </si>
  <si>
    <t xml:space="preserve">Precision loss</t>
  </si>
  <si>
    <t xml:space="preserve">In function calcCumulativeYieldFP, when calculating the accumulatorFP, the division is done before the multiplication. This can lead to precision loss, because in Solidity, division truncates the result. This could potentially lead to financial implications as this contract deals with financial calculations.</t>
  </si>
  <si>
    <t xml:space="preserve">5_1</t>
  </si>
  <si>
    <t xml:space="preserve">calcValueInBase, calcValueInToken</t>
  </si>
  <si>
    <t xml:space="preserve">Division by Zero</t>
  </si>
  <si>
    <t xml:space="preserve">There are no checks to ensure that the variables _baseAmt and _tokenAmt are not zero before they are used as a denominator in the division operation in the functions calcValueInBase and calcValueInToken. A division by zero would cause a revert in the EVM.</t>
  </si>
  <si>
    <t xml:space="preserve">getCollateralValueInBase</t>
  </si>
  <si>
    <t xml:space="preserve">Unhandled exceptions</t>
  </si>
  <si>
    <t xml:space="preserve">In the getCollateralValueInBase function, if the collateralAsset argument isn't a base, pool or synth as per isBase, isPool and isSynth checks, the function would end without returning any values. This might lead to unpredictable behavior in the functions that call getCollateralValueInBase and expect it to return values.</t>
  </si>
  <si>
    <t xml:space="preserve">isPool</t>
  </si>
  <si>
    <t xml:space="preserve">Uninitialized variables</t>
  </si>
  <si>
    <t xml:space="preserve">In the isPool function, the variable pool is not initialized which could lead to unpredictable behavior. If the condition inside the if statement does not hold true, the function would return an undefined value.</t>
  </si>
  <si>
    <t xml:space="preserve">calcPart</t>
  </si>
  <si>
    <t xml:space="preserve">Incorrect use of require statement</t>
  </si>
  <si>
    <t xml:space="preserve">The require statement in the function calcPart checks if the bp parameter is between 0 and 10000, inclusive. However, it is not required to check if bp is greater than or equal to 0 because the bp parameter is of type uint, which cannot be negative.</t>
  </si>
  <si>
    <t xml:space="preserve">5_2</t>
  </si>
  <si>
    <t xml:space="preserve">addLiquidity</t>
  </si>
  <si>
    <t xml:space="preserve">Uninitialized variable usage</t>
  </si>
  <si>
    <t xml:space="preserve">The contract uses the uninitialized variable `_actualInputBase` within the `addLiquidity` function. This could potentially lead to incorrect calculations or unexpected behavior.</t>
  </si>
  <si>
    <t xml:space="preserve">sync</t>
  </si>
  <si>
    <t xml:space="preserve">Incomplete function implementation</t>
  </si>
  <si>
    <t xml:space="preserve">In the `sync` function, there's an unfinished condition branch for `isSynth()`. This might cause unexpected behavior if this condition should be handled in a certain way. This can be considered an incomplete function implementation bug.</t>
  </si>
  <si>
    <t xml:space="preserve">addLiquidity, removeLiquidityDirectly, _removeLiquidity, etc.</t>
  </si>
  <si>
    <t xml:space="preserve">No input validation</t>
  </si>
  <si>
    <t xml:space="preserve">There is no input validation for the external functions. This might lead to unexpected behaviors when the function parameters are not as expected. For example, the `addLiquidity` function does not validate if `base` and `token` are valid token addresses.</t>
  </si>
  <si>
    <t xml:space="preserve">_removeLiquidity</t>
  </si>
  <si>
    <t xml:space="preserve">Potential re-entrancy bug</t>
  </si>
  <si>
    <t xml:space="preserve">In the `_removeLiquidity` function, the contract calls `transferOut` to an arbitrary address before it finishes updating its state. This could potentially open up a re-entrancy vulnerability if the recipient contract calls back into the contract.</t>
  </si>
  <si>
    <t xml:space="preserve">lockUnits, unlockUnits</t>
  </si>
  <si>
    <t xml:space="preserve">Lack of access control</t>
  </si>
  <si>
    <t xml:space="preserve">The functions `lockUnits` and `unlockUnits` can be called by any external caller without any restrictions. This can lead to unauthorized changes to the contract's state.</t>
  </si>
  <si>
    <t xml:space="preserve">calcValueInBase</t>
  </si>
  <si>
    <t xml:space="preserve">Possible Division by Zero Error</t>
  </si>
  <si>
    <t xml:space="preserve">The function `calcValueInBase` can potentially encounter a division by zero error. The function retrieves pool amounts `_baseAmt` and `_tokenAmt` from `getPoolAmounts`. If `_tokenAmt` is ever zero, then the subsequent calculation `(amount * _baseAmt) / _tokenAmt;` would lead to a division by zero error. There should be a condition to check if `_tokenAmt` is zero before performing the division.</t>
  </si>
  <si>
    <t xml:space="preserve">calcValueInToken</t>
  </si>
  <si>
    <t xml:space="preserve">Similar to the `calcValueInBase` function, the `calcValueInToken` function can potentially encounter a division by zero error. If `_baseAmt` is ever zero, then the subsequent calculation `(amount * _tokenAmt) / _baseAmt;` would lead to a division by zero error. There should be a condition to check if `_baseAmt` is zero before performing the division.</t>
  </si>
  <si>
    <t xml:space="preserve">The function `calcSwapOutput` can potentially encounter a division by zero error. If `x` and `X` are both zero, then the denominator calculation `(x + X) * (x + X)` would result in zero, leading to a division by zero error when calculating `numerator / denominator`. There should be a condition to check if `(x + X)` is zero before performing the division.</t>
  </si>
  <si>
    <t xml:space="preserve">The function `calcSwapFee` can potentially encounter a division by zero error. If `x` and `X` are both zero, then the denominator calculation `(x + X) * (x + X)` would result in zero, leading to a division by zero error when calculating `numerator / denominator`. There should be a condition to check if `(x + X)` is zero before performing the division.</t>
  </si>
  <si>
    <t xml:space="preserve">calcSwapSlip</t>
  </si>
  <si>
    <t xml:space="preserve">The function `calcSwapSlip` can potentially encounter a division by zero error. If `x` and `X` are both zero, then the denominator calculation `(x + X)` would result in zero, leading to a division by zero error when calculating `(x*10000) / (x + X)`. There should be a condition to check if `(x + X)` is zero before performing the division.</t>
  </si>
  <si>
    <t xml:space="preserve">5_3</t>
  </si>
  <si>
    <t xml:space="preserve">calcSwapOutput, calcSwapFee, calcLiquidityUnits, getSlipAdustment, and others</t>
  </si>
  <si>
    <t xml:space="preserve">Integer Division Precision Loss</t>
  </si>
  <si>
    <t xml:space="preserve">In Solidity, division of integers results in the removal of the remainder, which can lead to precision loss. This is prevalent in your contract where you're calculating shares, fees, and other values. To ensure the correct values, you might want to use a library like OpenZeppelin's SafeMath, or handle precision appropriately in your calculations.</t>
  </si>
  <si>
    <t xml:space="preserve">Various</t>
  </si>
  <si>
    <t xml:space="preserve">Potential Re-Entrancy</t>
  </si>
  <si>
    <t xml:space="preserve">While there are no explicit external calls that could lead to re-entrancy, the contract is calling multiple external contracts (iVADER, iROUTER, etc.). If any of these contracts have functions that could call back into this contract, it could potentially lead to re-entrancy attacks. Consider using the Checks-Effects-Interactions pattern to prevent this.</t>
  </si>
  <si>
    <t xml:space="preserve">init</t>
  </si>
  <si>
    <t xml:space="preserve">The 'init' function does not check if the input addresses are valid (non-zero) before assignment. This could lead to unexpected behavior if the function is called with invalid addresses.</t>
  </si>
  <si>
    <t xml:space="preserve">isBase, isPool</t>
  </si>
  <si>
    <t xml:space="preserve">Variable Shadowing</t>
  </si>
  <si>
    <t xml:space="preserve">In the 'isBase' and 'isPool' functions, the return variables 'base' and 'pool' are not explicitly set in all paths, leading to potential variable shadowing and unexpected return values.</t>
  </si>
  <si>
    <t xml:space="preserve">`_removeLiquidity`, `swap`, `burnSynth`, `lockUnits`, `unlockUnits`, `transferOut`</t>
  </si>
  <si>
    <t xml:space="preserve">Integer Overflow / Underflow**</t>
  </si>
  <si>
    <t xml:space="preserve">The mentioned functions make use of subtraction for calculation which is vulnerable to underflow if the subtrahend is greater than the minuend. The Solidity version 0.8.0 has built-in checks for arithmetic underflow or overflow, but it is always better to have an explicit check for such conditions.</t>
  </si>
  <si>
    <t xml:space="preserve">`transferOut`</t>
  </si>
  <si>
    <t xml:space="preserve">Unchecked External Call**</t>
  </si>
  <si>
    <t xml:space="preserve">In the `transferOut` function, the external call to `iERC20(_token).transfer(_recipient, _amount)` is not checked for its return status. ERC20 `transfer` function returns a boolean status which should be checked to ensure the transfer was successful.</t>
  </si>
  <si>
    <t xml:space="preserve">`removeLiquidity`, `removeLiquidityDirectly`, `swap`, `burnSynth`, `transferOut`</t>
  </si>
  <si>
    <t xml:space="preserve">Reentrancy**</t>
  </si>
  <si>
    <t xml:space="preserve">The mentioned functions make external calls to untrusted contracts (ERC20 token contracts) and may potentially allow for reentrancy attacks. Though the reentrancy attack is mitigated in Solidity 0.8.x due to the change in the gas rules, it is still recommended to use checks-effects-interactions pattern or a reentrancy guard for better security.</t>
  </si>
  <si>
    <t xml:space="preserve">`init`, `addLiquidity`, `removeLiquidity`, `removeLiquidityDirectly`, `swap`, `sync`, `deploySynth`, `mintSynth`, `burnSynth`, `syncSynth`, `lockUnits`, `unlockUnits`</t>
  </si>
  <si>
    <t xml:space="preserve">Missing Function Access Modifiers**</t>
  </si>
  <si>
    <t xml:space="preserve">The mentioned functions are public or external but don't have any access control modifiers such as `onlyOwner` or `onlyAuthorized`. This could potentially allow any address to call these functions and manipulate the contract state.</t>
  </si>
  <si>
    <t xml:space="preserve">`addLiquidity`, `removeLiquidity`, `removeLiquidityDirectly`, `swap`, `sync`, `deploySynth`, `mintSynth`, `burnSynth`, `syncSynth`, `lockUnits`, `unlockUnits`</t>
  </si>
  <si>
    <t xml:space="preserve">No Input Validation**</t>
  </si>
  <si>
    <t xml:space="preserve">The mentioned functions do not have any input validation. It's always a good practice to validate function parameters to avoid unexpected situations.</t>
  </si>
  <si>
    <t xml:space="preserve">`swap`, `mintSynth`, `burnSynth`</t>
  </si>
  <si>
    <t xml:space="preserve">Potential Front-running**</t>
  </si>
  <si>
    <t xml:space="preserve">The functions handle token transfers based on input data without any protection against front-running. This could potentially allow an attacker to execute a transaction before the user's transaction gets mined, affecting the outcome of the user's transaction.</t>
  </si>
  <si>
    <t xml:space="preserve">`init`</t>
  </si>
  <si>
    <t xml:space="preserve">Uninitialized Storage Pointers**</t>
  </si>
  <si>
    <t xml:space="preserve">The contract does not initialize its storage pointers (VADER, USDV, ROUTER, FACTORY) in its constructor but instead in the `init` function. This is a bad practice as it exposes the contract state to manipulation before the `init` function is called.</t>
  </si>
  <si>
    <t xml:space="preserve">14_1</t>
  </si>
  <si>
    <t xml:space="preserve">balanceOfToken</t>
  </si>
  <si>
    <t xml:space="preserve">The function `balanceOfToken` performs a multiplication followed by a division. Depending on the values of `balances[addr]`, `badgerSettBadgerBalance`, and `totalShares`, this order of operations might cause rounding errors or integer underflows. Ideally, the division should be performed first to ensure that the multiplication does not exceed the maximum uint256 value.</t>
  </si>
  <si>
    <t xml:space="preserve">redeemToken</t>
  </si>
  <si>
    <t xml:space="preserve">Cases with unexpected values</t>
  </si>
  <si>
    <t xml:space="preserve">In the function `redeemToken`, the case when `totalShares` is zero is handled by returning zero. However, if `totalShares` is zero and `amount` is non-zero, it is possible that the user is expecting to redeem tokens but gets zero in return. This might be an unexpected behavior.</t>
  </si>
  <si>
    <t xml:space="preserve">There is a potential case with unexpected values where `badgerSettBadgerBalance` is zero. If `badgerSettBadgerBalance` is zero, `requiredShares` will be zero due to the division by `badgerSettBadgerBalance`, and `requiredSharesBalance` will underflow as it tries to subtract 1 from zero. This might cause unexpected behavior and revert the transaction.</t>
  </si>
  <si>
    <t xml:space="preserve">Incorrect variable usage</t>
  </si>
  <si>
    <t xml:space="preserve">In the `redeemToken` function, `balances[msg.sender]` is decreased by `requiredSharesBalance`, but it seems that it should be decreased by the redeemed `badgerBalanceDiff` instead, because `balances` map seems to track the user's balance in the underlying badger token, not in badgerSett shares.</t>
  </si>
  <si>
    <t xml:space="preserve">supplyTokenTo</t>
  </si>
  <si>
    <t xml:space="preserve">The function `supplyTokenTo` does not handle the case where `badgerSett.deposit(amount)` might fail. If the `deposit` function were to fail, `balanceDiff` could be zero and the user's balance would not be updated, even though the badger tokens have already been transferred. This could lead to a loss of funds for the user.</t>
  </si>
  <si>
    <t xml:space="preserve">_tokenToShares, _sharesToToken</t>
  </si>
  <si>
    <t xml:space="preserve">In both `_tokenToShares` and `_sharesToToken` functions, there is multiplication before division. In these functions, you should be careful with the order of operations, as the current operation order can lead to loss of precision due to rounding down.</t>
  </si>
  <si>
    <t xml:space="preserve">_depositToIdle</t>
  </si>
  <si>
    <t xml:space="preserve">In the `_depositToIdle` function, there's no check for the return value of `mintIdleToken`. If `mintIdleToken` fails and returns zero, the function will still succeed, and the user's tokens will be stuck in this contract.</t>
  </si>
  <si>
    <t xml:space="preserve">supplyTokenTo, redeemToken</t>
  </si>
  <si>
    <t xml:space="preserve">In the `supplyTokenTo` and `redeemToken` functions, there's no check if the `to` address or `msg.sender` is the zero address. Transferring tokens to the zero address can lead to permanent loss of those tokens.</t>
  </si>
  <si>
    <t xml:space="preserve">In the `redeemToken` function, the `redeemAmount` is denominated in `token()`, but it seems to be used as an amount of shares in `redeemIdleToken`. If `token()` and shares have different decimals, this will cause incorrect behavior.</t>
  </si>
  <si>
    <t xml:space="preserve">transferERC20</t>
  </si>
  <si>
    <t xml:space="preserve">In the `transferERC20` function, there's a check that `erc20Token` is not `idleToken`, but there's no check if `erc20Token` is the zero address. If `erc20Token` is the zero address, this function will revert because `safeTransfer` to the zero address is likely to fail.</t>
  </si>
  <si>
    <t xml:space="preserve">14_3</t>
  </si>
  <si>
    <t xml:space="preserve">Unexpected value</t>
  </si>
  <si>
    <t xml:space="preserve">The `redeemToken` function calculates the `requiredShares` to withdraw from the `badgerSett`. However, the calculation is done in such a way that it could potentially lead to unexpected values. The `requiredShares` are calculated as `(amount * totalShares + totalShares) / badgerSettBadgerBalance`. In this calculation, the `totalShares` are added twice, which may not be intended and could lead to unexpected, higher values for `requiredShares`.</t>
  </si>
  <si>
    <t xml:space="preserve">Potential for underflow</t>
  </si>
  <si>
    <t xml:space="preserve">The `redeemToken` function uses the `sub` function from the SafeMath library to calculate `requiredSharesBalance` and the new balance of the `msg.sender` in `balances[msg.sender]`. If the value from which we are subtracting is smaller than the value being subtracted, this will result in an underflow error. The contract does not check this condition before subtracting.</t>
  </si>
  <si>
    <t xml:space="preserve">Potential for overflow</t>
  </si>
  <si>
    <t xml:space="preserve">In the `supplyTokenTo` function, the `add` function from the SafeMath library is used to update the balance of the `to` address in `balances[to]`. If the sum of `balances[to]` and `balanceDiff` exceeds the maximum possible uint256 value, this will result in an overflow error. This condition is not checked before the addition operation.</t>
  </si>
  <si>
    <t xml:space="preserve">_tokenToShares</t>
  </si>
  <si>
    <t xml:space="preserve">The function `_tokenToShares` performs multiplication before division which could lead to an overflow. It might be more accurate and safe to perform the division first.</t>
  </si>
  <si>
    <t xml:space="preserve">_sharesToToken</t>
  </si>
  <si>
    <t xml:space="preserve">Similar to `_tokenToShares`, the `_sharesToToken` function also does multiplication before division, which can potentially lead to overflow errors.</t>
  </si>
  <si>
    <t xml:space="preserve">In the `redeemToken` function, `redeemAmount` is converted to `redeemedShare` using `_tokenToShares` function, which might not yield the expected amount of shares due to the rounding issues in integer division. This could result in slightly lower `redeemedUnderlyingAsset` than expected.</t>
  </si>
  <si>
    <t xml:space="preserve">The `redeemToken` function uses the `_burn` function from the ERC20Upgradeable library to burn `redeemedShare` from `msg.sender`. If the balance of the `msg.sender` is less than `redeemedShare`, this will result in an underflow error. This condition is not checked before the burning operation.</t>
  </si>
  <si>
    <t xml:space="preserve">In the `supplyTokenTo` function, the `_mint` function from the ERC20Upgradeable library is used to mint `mintedTokenShares` to `to`. If the sum of `mintedTokenShares` and the current balance of `to` exceeds the maximum possible uint256 value, this will result in an overflow error. This condition is not checked before the minting operation.</t>
  </si>
  <si>
    <t xml:space="preserve">Arithmetic Overflow</t>
  </si>
  <si>
    <t xml:space="preserve">In the function `updatePrice`, when updating the old pricing entry, the addition operation is performed without checking for overflow. This could result in incorrect calculations if the `cumulativePrice` or `trades` exceed the maximum value of uint256.</t>
  </si>
  <si>
    <t xml:space="preserve">updateFundingRate</t>
  </si>
  <si>
    <t xml:space="preserve">Arithmetic Underflow</t>
  </si>
  <si>
    <t xml:space="preserve">In the function `updateFundingRate`, the subtraction operation `derivativeTWAP.toInt256() - underlyingTWAP.toInt256() - timeValue` can lead to an underflow issue if `underlyingTWAP.toInt256() + timeValue` is larger than `derivativeTWAP.toInt256()`. This can result in a large positive number instead of a negative number due to how underflows work in Solidity.</t>
  </si>
  <si>
    <t xml:space="preserve">Use of `require` for validating business logic</t>
  </si>
  <si>
    <t xml:space="preserve">`require` is used throughout the contract to enforce business rules. While this is a common pattern in Solidity, it can lead to unexpected results if the conditions aren't met, since `require` will revert the entire transaction. This can make it difficult to identify and handle specific errors in a complex system. It might be worth considering a pattern that allows for more granular error handling.</t>
  </si>
  <si>
    <t xml:space="preserve">The contract doesn't seem to validate inputs to many of its functions. While some functions use the `onlyOwner` or `onlyWhitelisted` modifiers to restrict access, there's no explicit validation of the input parameters to these and other functions. This can lead to unexpected behavior or vulnerabilities if these functions are called with invalid or malicious inputs.</t>
  </si>
  <si>
    <t xml:space="preserve">Potential reentrancy attack</t>
  </si>
  <si>
    <t xml:space="preserve">In the `withdraw` function, the contract calls an external contract (`IERC20(tracerQuoteToken).transfer`) after updating the state (`tvl = tvl - amount;`). This could potentially lead to reentrancy attacks if the called contract is malicious. A potential solution would be to follow the Checks-Effects-Interactions pattern, where the state is updated after all external calls.</t>
  </si>
  <si>
    <t xml:space="preserve">Lack of event emission</t>
  </si>
  <si>
    <t xml:space="preserve">There are some state-changing functions that do not emit events. This can make it harder to track the state changes of the contract via events. An example could be the `_updateAccountLeverage` function which updates the leverage but does not emit an event.</t>
  </si>
  <si>
    <t xml:space="preserve">latestAnswer</t>
  </si>
  <si>
    <t xml:space="preserve">Incorrect Order of Calculations</t>
  </si>
  <si>
    <t xml:space="preserve">The gas price and ETH price fetched from Chainlink Oracle are not converted to have consistent decimals before multiplication. Therefore, the returned value may not be in USD/Gas * 10^18 if the decimals of these two oracles are not the same. To fix it, the contract could use the toWad function to convert them to a consistent decimal base before multiplication.</t>
  </si>
  <si>
    <t xml:space="preserve">setDecimals</t>
  </si>
  <si>
    <t xml:space="preserve">Deviating Semantics</t>
  </si>
  <si>
    <t xml:space="preserve">The 'setDecimals' function allows the owner to set the 'decimals' variable without any restrictions. This can lead to inconsistency in calculations throughout the smart contract as other functions use the 'decimals' variable assuming it's 18.</t>
  </si>
  <si>
    <t xml:space="preserve">setGasOracle, setPriceOracle</t>
  </si>
  <si>
    <t xml:space="preserve">Use of Incorrect Variables</t>
  </si>
  <si>
    <t xml:space="preserve">The setGasOracle and setPriceOracle functions are not validating if the input addresses are actual contract addresses. This could potentially allow for setting non-contract addresses as oracle addresses, which would lead to failure when trying to interact with these addresses as contracts.</t>
  </si>
  <si>
    <t xml:space="preserve">toWad</t>
  </si>
  <si>
    <t xml:space="preserve">Unexpected Values</t>
  </si>
  <si>
    <t xml:space="preserve">The multiplication operation raw * scaler could potentially overflow if not handled correctly. An overflow check should be added for this operation to ensure the result fits in a uint256.</t>
  </si>
  <si>
    <t xml:space="preserve">applyTrade</t>
  </si>
  <si>
    <t xml:space="preserve">This function is performing mathematical operations that could potentially lead to overflow or underflow. However, since Solidity 0.8.0 (which this contract is using), arithmetic operations revert on underflow and overflow. Therefore, it is safe. But, it is still a good practice to check for overflows and underflows when working with older versions of Solidity.</t>
  </si>
  <si>
    <t xml:space="preserve">marginIsValid</t>
  </si>
  <si>
    <t xml:space="preserve">The function marginIsValid does not check if the provided position is valid. It only checks whether the calculated margin is less than 0 and whether the margin is greater than or equal to the minimum margin. However, it does not validate if the values in the position are within expected bounds.</t>
  </si>
  <si>
    <t xml:space="preserve">margin</t>
  </si>
  <si>
    <t xml:space="preserve">The price is casted to an int256. If the price is higher than type(int256).max(), this will throw an exception. While this is a guard against an overflow, it also limits the maximum price that can be used. It's not necessarily a bug, but it is a limitation that should be well-documented.</t>
  </si>
  <si>
    <t xml:space="preserve">tokenToWad, wadToToken</t>
  </si>
  <si>
    <t xml:space="preserve">The functions tokenToWad and wadToToken assume that the provided 'tokenDecimals' are less than or equal to 'MAX_DECIMALS'. If 'tokenDecimals' is greater, these functions will not work correctly.</t>
  </si>
  <si>
    <t xml:space="preserve">The function `latestAnswer` doesn't check if the `gasPrice` or `ethPrice` is zero before performing multiplication. This could potentially lead to an unexpected zero output if the oracles do not behave as expected.</t>
  </si>
  <si>
    <t xml:space="preserve">The `toWad` function expects the oracle to provide the correct decimal count. If the oracle behaves in a malicious or unexpected way, it could potentially break the contract logic. While you do check that `_decimals &lt;= MAX_DECIMALS`, it would be better to also check that `_decimals` is not less than a reasonable minimum (e.g., 0).</t>
  </si>
  <si>
    <t xml:space="preserve">minimumMargin</t>
  </si>
  <si>
    <t xml:space="preserve">The function `minimumMargin` doesn't check if `maximumLeverage` is zero before performing division. This could potentially lead to a division by zero error if `maximumLeverage` is not properly validated.</t>
  </si>
  <si>
    <t xml:space="preserve">wadToToken</t>
  </si>
  <si>
    <t xml:space="preserve">The function `wadToToken` performs division before multiplication. If `wadAmount` is less than `scaler`, it will return 0 due to the integer division. It might be better to perform multiplication first to maintain precision and then perform division.</t>
  </si>
  <si>
    <t xml:space="preserve">17_3</t>
  </si>
  <si>
    <t xml:space="preserve">_updateRatios</t>
  </si>
  <si>
    <t xml:space="preserve">Erroneous order of calculations</t>
  </si>
  <si>
    <t xml:space="preserve">In the `_updateRatios` function, the `tolerance` argument is compared against the result of calculations involving `check` variable. However, `check` is calculated by subtracting `_ratio` from `chainRatios[i].div(CHAIN_FACTOR)`. This can potentially lead to an underflow if `_ratio` is greater than `chainRatios[i].div(CHAIN_FACTOR)`. To fix this, it would be advisable to ensure `_ratio` is always less than or equal to `chainRatios[i].div(CHAIN_FACTOR)`.</t>
  </si>
  <si>
    <t xml:space="preserve">setBasisPointsLmit</t>
  </si>
  <si>
    <t xml:space="preserve">Incorrect variables</t>
  </si>
  <si>
    <t xml:space="preserve">The function name `setBasisPointsLmit` appears to be a typo. It should be `setBasisPointsLimit`.</t>
  </si>
  <si>
    <t xml:space="preserve">stableToUsd</t>
  </si>
  <si>
    <t xml:space="preserve">Unexpected values</t>
  </si>
  <si>
    <t xml:space="preserve">The `stableToUsd` function calculates LP amount by calling `curvePool.calc_token_amount(_tokenAmounts, deposit)`, but there's no guarantee that the `deposit` variable will always be `true` when it should be for deposit operations. Incorrect value for `deposit` variable can lead to unexpected results.</t>
  </si>
  <si>
    <t xml:space="preserve">poolBalances</t>
  </si>
  <si>
    <t xml:space="preserve">In the `poolBalances` function, the `_balances` array is returned as `balances`. This is unnecessary and potentially confusing. The function should just return `_balances` directly.</t>
  </si>
  <si>
    <t xml:space="preserve">25_1</t>
  </si>
  <si>
    <t xml:space="preserve">peek, get</t>
  </si>
  <si>
    <t xml:space="preserve">Arithmetic Precision</t>
  </si>
  <si>
    <t xml:space="preserve">In the `peek` and `get` functions, the value is calculated as `value = price * amount / 1e18;`. This may lead to precision loss due to integer division, especially if `price * amount` is less than `1e18`. It would be more accurate to perform the division first and then multiply by `amount`.</t>
  </si>
  <si>
    <t xml:space="preserve">setSource, setSources</t>
  </si>
  <si>
    <t xml:space="preserve">Absence of Input Validation</t>
  </si>
  <si>
    <t xml:space="preserve">There are no checks to ensure that the `source` address provided to the `setSource` and `setSources` functions is not a zero address. If a zero address is passed into these functions, it would overwrite an existing source address with a zero address, which can lead to unexpected behavior.</t>
  </si>
  <si>
    <t xml:space="preserve">_peek, _get</t>
  </si>
  <si>
    <t xml:space="preserve">Unchecked External Call Return Values</t>
  </si>
  <si>
    <t xml:space="preserve">The contract calls external functions `exchangeRateStored` and `exchangeRateCurrent` on the `CTokenInterface` contract, but does not check their return values. If these functions were to fail, the contract would not be aware of this, which could lead to incorrect behavior.</t>
  </si>
  <si>
    <t xml:space="preserve">_updateRewardsPerToken</t>
  </si>
  <si>
    <t xml:space="preserve">Arithmetic overflow</t>
  </si>
  <si>
    <t xml:space="preserve">In the _updateRewardsPerToken function, there is a potential for arithmetic overflow in the line where the new value for rewardsPerToken_.accumulated is calculated. This can occur if the product of `1e18 * timeSinceLastUpdated * rewardsPerToken_.rate` is larger than what can be stored in a uint256.</t>
  </si>
  <si>
    <t xml:space="preserve">_updateUserRewards</t>
  </si>
  <si>
    <t xml:space="preserve">Potential loss of rewards</t>
  </si>
  <si>
    <t xml:space="preserve">In the _updateUserRewards function, when the new value for userRewards_.accumulated is calculated, the division by 1e18 could potentially result in a loss of rewards due to the truncation of decimal places.</t>
  </si>
  <si>
    <t xml:space="preserve">setRewards</t>
  </si>
  <si>
    <t xml:space="preserve">Incorrect timestamp comparison</t>
  </si>
  <si>
    <t xml:space="preserve">In the setRewards function, there are checks to ensure that a new rewards program can be set only if one is not currently running. However, these checks compare the current block timestamp (in seconds since Unix epoch) with the start and end times of the reward period, which are stored as uint32 values. Given that the current Unix timestamp has already exceeded the maximum value that can be stored in a uint32, these checks will always fail, preventing a new rewards program from being set.</t>
  </si>
  <si>
    <t xml:space="preserve">25_3</t>
  </si>
  <si>
    <t xml:space="preserve">Arithmetic Precision Loss</t>
  </si>
  <si>
    <t xml:space="preserve">In the _updateUserRewards function, you are calculating the accumulated rewards for a user. The calculation involves a division operation at the end (`_balanceOf[user] * (rewardsPerToken_.accumulated - userRewards_.checkpoint) / 1e18`). This operation might lead to a precision loss because of the integer division, which in turn might lead to small inaccuracies in the rewards assigned to a user. This issue might be insignificant for large balances and rewards but could potentially be more noticeable for small balances and rewards.</t>
  </si>
  <si>
    <t xml:space="preserve">29_1</t>
  </si>
  <si>
    <t xml:space="preserve">flashSwap</t>
  </si>
  <si>
    <t xml:space="preserve">Missing Input Validation</t>
  </si>
  <si>
    <t xml:space="preserve">burnSingle</t>
  </si>
  <si>
    <t xml:space="preserve">29_3</t>
  </si>
  <si>
    <t xml:space="preserve">`mint`, `burn`, `burnSingle`, `swap`, `flashSwap`</t>
  </si>
  <si>
    <t xml:space="preserve">Reentrancy Bug**</t>
  </si>
  <si>
    <t xml:space="preserve">The lock modifier used in these functions is meant to prevent reentrancy attacks, but it can potentially be bypassed. The `unlocked` variable is initially set to `1` and is changed to `2` at the start of the function execution. However, there's no guarantee that it will always be `1` before the function is called. An attacker can potentially manipulate the state of the contract to make `unlocked == 2` which can then bypass the reentrancy guard and allow for reentrancy attacks.</t>
  </si>
  <si>
    <t xml:space="preserve">`_mul`, `_div`</t>
  </si>
  <si>
    <t xml:space="preserve">Integer Overflow and Underflow**</t>
  </si>
  <si>
    <t xml:space="preserve">Solidity does not handle overflows and underflows automatically. This might lead to unexpected behavior if not handled correctly. Consider using SafeMath or Solidity 0.8.0 or later to handle these operations.</t>
  </si>
  <si>
    <t xml:space="preserve">`_transfer`</t>
  </si>
  <si>
    <t xml:space="preserve">Call to external contract**</t>
  </si>
  <si>
    <t xml:space="preserve">The `bento.call` in the `_transfer` function is a call to an external contract. This is risky because the external contract could be compromised, or it could be coded to perform actions that you don't expect.</t>
  </si>
  <si>
    <t xml:space="preserve">mint, burn, burnSingle, swap, flashSwap</t>
  </si>
  <si>
    <t xml:space="preserve">Reentrancy</t>
  </si>
  <si>
    <t xml:space="preserve">The functions mint, burn, burnSingle, swap, flashSwap contain a potential reentrancy bug. These functions are marked with the modifier 'lock' which uses a flag (unlocked) to prevent reentrancy. However, this flag is set back to 1 at the end of these functions, allowing potential reentrant calls. This could be exploited if the functions have a callback to an external contract that calls back into this contract before the original function has finished executing.</t>
  </si>
  <si>
    <t xml:space="preserve">_transfer, _balance</t>
  </si>
  <si>
    <t xml:space="preserve">Unchecked external call</t>
  </si>
  <si>
    <t xml:space="preserve">The functions _transfer and _balance make an external call to the 'bento' contract without checking the return value. If these calls fail, the entire transaction will revert, which may not be the desired behavior.</t>
  </si>
  <si>
    <t xml:space="preserve">_mintFee</t>
  </si>
  <si>
    <t xml:space="preserve">Overflow</t>
  </si>
  <si>
    <t xml:space="preserve">The _mintFee function multiplies two uint112 numbers, which could potentially result in a number that is larger than what can be stored in a uint256, resulting in an overflow.</t>
  </si>
  <si>
    <t xml:space="preserve">updateBarFee</t>
  </si>
  <si>
    <t xml:space="preserve">The updateBarFee function makes a staticcall to the masterDeployer contract and decodes the returned bytes into a uint256. If the call fails or returns incorrect data, this will throw an exception which isn't caught in the function. This could cause transactions that call this function to revert unexpectedly.</t>
  </si>
  <si>
    <t xml:space="preserve">_getReserves, _balance, _update, _mintFee, _getAmountOut, _transfer, _nonOptimalMintFee</t>
  </si>
  <si>
    <t xml:space="preserve">Missing function visibility</t>
  </si>
  <si>
    <t xml:space="preserve">These internal functions don't have an explicit visibility set. Although they default to internal visibility, it's good practice to explicitly set the visibility for clarity.</t>
  </si>
  <si>
    <t xml:space="preserve">various</t>
  </si>
  <si>
    <t xml:space="preserve">Use of magic numbers</t>
  </si>
  <si>
    <t xml:space="preserve">There are several instances where "magic numbers" are used (like 0xf7888aec, 0x97da6d30, 0xf18d03cc). These values should be replaced with named constants for better code readability and maintainability.</t>
  </si>
  <si>
    <t xml:space="preserve">30_1</t>
  </si>
  <si>
    <t xml:space="preserve">setGauge</t>
  </si>
  <si>
    <t xml:space="preserve">Zero Address Check</t>
  </si>
  <si>
    <t xml:space="preserve">The function `setGauge` is not checking if the provided address is a zero address. A zero address can be set as gauge which could potentially lock funds forever if ever interacted with.</t>
  </si>
  <si>
    <t xml:space="preserve">Oracle Manipulation / Front Running</t>
  </si>
  <si>
    <t xml:space="preserve">The function `swap` makes use of an expected amount parameter. If an oracle is used for this expected amount, and the oracle is not decentralized or is manipulatable, it could lead to loss of funds. Also, there is a possibility of front-running attacks where someone could see the transaction in the mempool and interact with the `swap` function before the transaction gets mined.</t>
  </si>
  <si>
    <t xml:space="preserve">Re-entrancy</t>
  </si>
  <si>
    <t xml:space="preserve">The `withdraw` function is at risk of re-entrancy attacks. It is calling an external contract (through the `_controller.withdraw` function) before the state (the user balance) is updated which could lead to re-entrancy attacks.</t>
  </si>
  <si>
    <t xml:space="preserve">30_3</t>
  </si>
  <si>
    <t xml:space="preserve">Potential overflow</t>
  </si>
  <si>
    <t xml:space="preserve">The `_normalizeDecimals` function can potentially cause an overflow if the token has a decimal less than 18 and the `_amount` is very large.</t>
  </si>
  <si>
    <t xml:space="preserve">Insufficient balance check</t>
  </si>
  <si>
    <t xml:space="preserve">The `_amount` to be deposited is not checked against the balance of the depositor, which might lead to failed transactions and lost gas fees.</t>
  </si>
  <si>
    <t xml:space="preserve">Insufficient withdrawal amount check</t>
  </si>
  <si>
    <t xml:space="preserve">The withdrawal amount after subtracting the fee is not checked if it's still positive. In case of very high fees, the actual withdrawal amount might be very small or even negative.</t>
  </si>
  <si>
    <t xml:space="preserve">setCap</t>
  </si>
  <si>
    <t xml:space="preserve">The function setCap first sets the new cap for the strategy, then withdraws the amount in excess of the new cap. However, it doesn't take into account the possibility that the withdrawal operation might fail, which would result in an incorrect cap being set. Ideally, it should perform the withdrawal first, then set the new cap only if the withdrawal was successful.</t>
  </si>
  <si>
    <t xml:space="preserve">removeStrategy</t>
  </si>
  <si>
    <t xml:space="preserve">The function removeStrategy removes a strategy from a vault, and it uses the 'sub' function from the SafeMath library to adjust array indexes. However, it does not account for the scenario where the 'index' variable might be zero. If 'index' is zero, 'sub(1)' would underflow and produce an unexpected value. This could result in an incorrect array index being accessed, leading to potential errors or exploits.</t>
  </si>
  <si>
    <t xml:space="preserve">In the withdraw function, the 'safeTransfer' method is used to transfer tokens from the contract to the caller. However, the amount to be transferred is calculated after the withdrawal operations have been performed. This could lead to a situation where the actual balance of the contract is less than the calculated withdrawal amount, resulting in a failed transfer. This is inconsistent with the typical expectation that a withdrawal should only be possible if there are enough funds in the contract.</t>
  </si>
  <si>
    <t xml:space="preserve">31_2</t>
  </si>
  <si>
    <t xml:space="preserve">balanceOfPool()</t>
  </si>
  <si>
    <t xml:space="preserve">In the balanceOfPool() function, the value of bCVXToCVX is retrieved and checked for its value after it is used to calculate valueInLocker. If bCVXToCVX is less than or equal to 10**18, the function reverts with "Loss Of Peg". This check should be performed before the calculation is made to ensure that the peg has not been lost and to prevent unnecessary calculations if it has.</t>
  </si>
  <si>
    <t xml:space="preserve">_withdrawSome()</t>
  </si>
  <si>
    <t xml:space="preserve">Incorrect use of variables</t>
  </si>
  <si>
    <t xml:space="preserve">In the _withdrawSome() function, it requires that max is greater than or equal to _amount multiplied by 9_980 divided by MAX_BPS. However, the variable "max" is set to the balance of the "want" token in the contract's address, and it may not be the correct amount for this check. This could potentially lead to incorrect calculations and potentially unwanted behavior.</t>
  </si>
  <si>
    <t xml:space="preserve">manualRebalance()</t>
  </si>
  <si>
    <t xml:space="preserve">In the manualRebalance() function, if the newLockRatio is less than or equal to the currentLockRatio, the function will deposit all CVX into the vault without considering the toWantRatio. This may lead to more tokens being locked than expected, thus not respecting the desired balance defined by the toLock parameter.</t>
  </si>
  <si>
    <t xml:space="preserve">_deposit()</t>
  </si>
  <si>
    <t xml:space="preserve">In the _deposit() function, the contract calls the function CVX_VAULT.withdraw() with the amount intended to be deposited. This seems to be a mistake and it should be CVX_VAULT.deposit() instead.</t>
  </si>
  <si>
    <t xml:space="preserve">31_3</t>
  </si>
  <si>
    <t xml:space="preserve">harvest</t>
  </si>
  <si>
    <t xml:space="preserve">Use of incorrect variables</t>
  </si>
  <si>
    <t xml:space="preserve">The `harvest` function processes rewards, but the method `_processRewardsFees` receives `earnedReward` as a parameter which is the balance of the `reward` token after getting rewards from the `LOCKER`. The function `_processRewardsFees` processes the fee on this amount and sends the fees to the governance and the strategist. But, the reward is not converted to `want` token before processing fees. The fees should be processed on the `want` token instead of the `reward` token.</t>
  </si>
  <si>
    <t xml:space="preserve">_withdrawSome</t>
  </si>
  <si>
    <t xml:space="preserve">The `_withdrawSome` function requires that the amount to withdraw is not more than 99.8% of the current balance (`max &gt;= _amount.mul(9_980).div(MAX_BPS)`). This can result in a miscalculation in cases where the `_amount` is very high, and `max` is low. This is because multiplying `_amount` by `9_980` can overflow if `_amount` is very large. This could be prevented by first dividing `_amount` by `MAX_BPS` and then multiplying the result by `9_980`.</t>
  </si>
  <si>
    <t xml:space="preserve">manualRebalance</t>
  </si>
  <si>
    <t xml:space="preserve">In the `manualRebalance` function, `toLock` is passed as a parameter, which is then directly used to calculate `newLockRatio`. The contract has a `MAX_BPS` constant which is `10_000`, and `toLock` is required to be less than or equal to `MAX_BPS`. But, it is not checked whether `toLock` is a valid value within the required range (0 to `MAX_BPS`). This could potentially lead to unexpected behavior if `toLock` is a negative value or an excessively large value.</t>
  </si>
  <si>
    <t xml:space="preserve">39_1</t>
  </si>
  <si>
    <t xml:space="preserve">initiateVaultFillingZcTokenInitiate, initiateZcTokenFillingVaultInitiate, initiateZcTokenFillingZcTokenExit, initiateVaultFillingVaultExit, exitZcTokenFillingZcTokenInitiate, exitVaultFillingVaultInitiate, exitVaultFillingZcTokenExit, exitZcTokenFillingVaultExit</t>
  </si>
  <si>
    <t xml:space="preserve">In these functions, the filled volume of the order is being updated before any of the token transfers and minting operations have been confirmed to have succeeded. It's recommended that state variables like `filled[hash]` be updated only after all external function calls (like `transferFrom`, `mint`, etc.) have been successfully completed to avoid reentrancy attacks.</t>
  </si>
  <si>
    <t xml:space="preserve">setFee</t>
  </si>
  <si>
    <t xml:space="preserve">The function `setFee` is using a parameter `t` as an index to update the `fenominator` array. However, there is no validation to ensure `t` is a valid index for the array. This could result in an out-of-gas error if `t` exceeds the length of the `fenominator` array.</t>
  </si>
  <si>
    <t xml:space="preserve">redeemZcToken</t>
  </si>
  <si>
    <t xml:space="preserve">The function `redeemZcToken` calls `mPlace.redeemZcToken` before calling `CErc20(mPlace.cTokenAddress(u, m)).redeemUnderlying(redeemed)`. The order of these calls could potentially cause issues if the first call modifies the state in a way that affects the second call.</t>
  </si>
  <si>
    <t xml:space="preserve">splitUnderlying, combineTokens</t>
  </si>
  <si>
    <t xml:space="preserve">Cases with Unexpected Values</t>
  </si>
  <si>
    <t xml:space="preserve">In the functions `splitUnderlying` and `combineTokens`, there is no check to ensure that the `a` parameter is greater than 0. If a user were to call these functions with `a` as 0, the function calls to transfer and mint/redeem tokens could succeed, but it would result in unnecessary gas costs and could potentially lead to other issues.</t>
  </si>
  <si>
    <t xml:space="preserve">All Functions</t>
  </si>
  <si>
    <t xml:space="preserve">Missing Checks for External Calls</t>
  </si>
  <si>
    <t xml:space="preserve">All function calls to external contracts (including ERC20 transfers, mints, redeems, etc.) should be checked for their return value or use the 'Safe' version of these functions to ensure they succeeded. If these calls fail silently, it could result in lost funds or other unexpected behavior.</t>
  </si>
  <si>
    <t xml:space="preserve">39_2</t>
  </si>
  <si>
    <t xml:space="preserve">The function `withdraw` in the contract could be susceptible to a reentrancy attack as the state (`withdrawals[e] = 0;`) is updated after the transfer (`token.transfer(admin, token.balanceOf(address(this)));`). An attacker might take advantage of this by causing the contract to perform a callback to their contract.</t>
  </si>
  <si>
    <t xml:space="preserve">Lack of input validation</t>
  </si>
  <si>
    <t xml:space="preserve">There seems to be no input validation for the `setFee` function. It allows the admin to set any arbitrary fee value without any checks if the fee is within a certain range or limit.</t>
  </si>
  <si>
    <t xml:space="preserve">Incorrect order of calculations (Integer Division)</t>
  </si>
  <si>
    <t xml:space="preserve">Integer division in Solidity discards the remainder. This is fine for some cases but it can lead to imprecision and rounding errors. In multiple parts of the code, there are instances where the value is multiplied by 1e18, divided by a variable, then again divided by 1e18. This could lead to a loss of precision. One potential fix is to rearrange the operations to perform the multiplication last.</t>
  </si>
  <si>
    <t xml:space="preserve">exitZcTokenFillingZcTokenInitiate, exitZcTokenFillingVaultExit</t>
  </si>
  <si>
    <t xml:space="preserve">Potential Underflow</t>
  </si>
  <si>
    <t xml:space="preserve">The lines `uToken.transferFrom(o.maker, msg.sender, principalFilled - a - fee);` and `uToken.transfer(msg.sender, principalFilled - a - fee);` could potentially underflow if `a` and `fee` are greater than `principalFilled`. It's recommended to use SafeMath or Solidity 0.8.0 or higher (which has built-in overflow and underflow protection).</t>
  </si>
  <si>
    <t xml:space="preserve">flashLoan</t>
  </si>
  <si>
    <t xml:space="preserve">The function `flashLoan` could potentially be vulnerable to a reentrancy attack. It transfers an amount of tokens to a flash loan receiver and then expects the same amount of tokens back. If the receiver is a malicious contract, it could call `flashLoan` again before returning the tokens, causing reentrancy. To prevent this, consider using the Checks-Effects-Interactions pattern.</t>
  </si>
  <si>
    <t xml:space="preserve">Uncontrolled External Call</t>
  </si>
  <si>
    <t xml:space="preserve">The function `flashLoan` makes an external call to `_receiver.onFlashLoan(...)`. This could potentially be an issue if the receiver contract's `onFlashLoan` function has malicious code or if the receiver contract is not implemented correctly. Be cautious when making calls to external contracts and consider using secure patterns like the Withdrawal pattern instead of direct transfers.</t>
  </si>
  <si>
    <t xml:space="preserve">repay</t>
  </si>
  <si>
    <t xml:space="preserve">The function `repay` subtracts `_amount` from `debts` without checking whether `_amount` is less than or equal to `debts`. This could result in an underflow if `_amount` is greater than `debts`. Although the `require(_amount &gt; 0, "zero");` statement might mitigate this problem to some extent, it's still recommended to use SafeMath library or similar mechanism for arithmetic operations to prevent underflows and overflows.</t>
  </si>
  <si>
    <t xml:space="preserve">44_1</t>
  </si>
  <si>
    <t xml:space="preserve">constructor</t>
  </si>
  <si>
    <t xml:space="preserve">Missing input validation</t>
  </si>
  <si>
    <t xml:space="preserve">In the constructor, the inputs `feeRecipient_` and `swapFee_` are not validated. There should be checks to ensure that `feeRecipient_` is not the zero address and `swapFee_` is within a reasonable range (e.g., less than `SWAP_FEE_DIVISOR`).</t>
  </si>
  <si>
    <t xml:space="preserve">sweepFees</t>
  </si>
  <si>
    <t xml:space="preserve">Reentrancy attack</t>
  </si>
  <si>
    <t xml:space="preserve">The `sweepFees` function could potentially suffer from a reentrancy attack when transferring ETH to the `feeRecipient`. This function should ideally be marked with the `nonReentrant` modifier to prevent reentrancy attacks. Note that while the `nonReentrant` modifier is present, it's not utilized here.</t>
  </si>
  <si>
    <t xml:space="preserve">fallback, receive</t>
  </si>
  <si>
    <t xml:space="preserve">Fallback function misuse</t>
  </si>
  <si>
    <t xml:space="preserve">The contract has fallback and receive functions that are payable but don't perform any actions. This could potentially lead to accidental loss of funds if Ether is sent to the contract unintentionally.</t>
  </si>
  <si>
    <t xml:space="preserve">44_3</t>
  </si>
  <si>
    <t xml:space="preserve">swapByQuote</t>
  </si>
  <si>
    <t xml:space="preserve">Cases with Unexpected Values or Deviating Semantics</t>
  </si>
  <si>
    <t xml:space="preserve">The function swapByQuote uses the msg.value to determine if the operation involves Ether. If the operation is supposed to involve Ether but msg.value is 0, the function reverts. However, it may be more appropriate to check if msg.value is equal to the amount that is supposed to be sent. If the two values do not match, the function should revert.</t>
  </si>
  <si>
    <t xml:space="preserve">45_1</t>
  </si>
  <si>
    <t xml:space="preserve">getLockedAmount</t>
  </si>
  <si>
    <t xml:space="preserve">Unexpected Value</t>
  </si>
  <si>
    <t xml:space="preserve">In the getLockedAmount function, when 'isIncrease' is set to false, the 'newLockedAmount' is being set to 'array[i].lockedAmount - 1' if 'array[i].lockedAmount' is greater than 'amount'. This might lead to unexpected values of 'newLockedAmount' as it decreases the 'lockedAmount' by 1 instead of 'amount'. It seems like a potential mistake in the code logic as it deviates from the expected behavior of reducing the 'lockedAmount' by 'amount'.</t>
  </si>
  <si>
    <t xml:space="preserve">_findMedian</t>
  </si>
  <si>
    <t xml:space="preserve">In the _findMedian function, the median is calculated as an average of two middle numbers when the array length is even. This could lead to incorrect results if those two numbers are large enough that their sum exceeds the maximum value of uint256 (2^256 - 1). A better way to avoid overflow would be to calculate the average by adding half of each number</t>
  </si>
  <si>
    <t xml:space="preserve">`(num1 / 2) + (num2 / 2)` and add 1 if num1 and num2 are both odd to account for the division truncation.</t>
  </si>
  <si>
    <t xml:space="preserve">45_2</t>
  </si>
  <si>
    <t xml:space="preserve">_sortArray</t>
  </si>
  <si>
    <t xml:space="preserve">Unbounded Loops</t>
  </si>
  <si>
    <t xml:space="preserve">This function employs a bubble sort algorithm, which has a time complexity of O(n^2). In the worst-case scenario (an array that is reverse sorted), it could lead to excessive gas costs and possible transaction failure if the array is large enough, due to exceeding the Ethereum block gas limit.</t>
  </si>
  <si>
    <t xml:space="preserve">Unchecked Return Value</t>
  </si>
  <si>
    <t xml:space="preserve">In the function `getLockedAmount`, there are multiple return statements within the for loop. If none of the `array[i].staker` elements match the `account` input, the function will return 0. While not necessarily an error, it might lead to unexpected behavior if this case isn't properly handled where the function is called.</t>
  </si>
  <si>
    <t xml:space="preserve">Use of Magic Numbers</t>
  </si>
  <si>
    <t xml:space="preserve">The function `getLockedAmount` has a magic number 1 in the expression `newLockedAmount = array[i].lockedAmount - 1`. This could lead to confusion and potential errors in the future. It's generally good practice to define such numbers as constants with descriptive names.</t>
  </si>
  <si>
    <t xml:space="preserve">getCreditLimit</t>
  </si>
  <si>
    <t xml:space="preserve">Inefficient Storage Pattern</t>
  </si>
  <si>
    <t xml:space="preserve">The `getCreditLimit` function returns a median value based on an array of values passed as a parameter. If this data is frequently used, it may be more efficient to store it in a state variable to avoid calculating the median repeatedly.</t>
  </si>
  <si>
    <t xml:space="preserve">47_1</t>
  </si>
  <si>
    <t xml:space="preserve">transferFrom, transfer</t>
  </si>
  <si>
    <t xml:space="preserve">Erroneous Accounting</t>
  </si>
  <si>
    <t xml:space="preserve">The functions `transferFrom` and `transfer` use a function called `balanceToShares` to convert the `amount` into `amountInShares`. This function uses the `pricePerShare` from an oracle, which could lead to erroneous accounting if the oracle provides incorrect or manipulated data.</t>
  </si>
  <si>
    <t xml:space="preserve">balanceOf, totalSupply</t>
  </si>
  <si>
    <t xml:space="preserve">The functions `balanceOf` and `totalSupply` also use the `pricePerShare` from an oracle to calculate the balance or total supply. Again, this could lead to erroneous accounting if the oracle provides incorrect or manipulated data.</t>
  </si>
  <si>
    <t xml:space="preserve">mint, burn</t>
  </si>
  <si>
    <t xml:space="preserve">In the `mint` and `burn` functions, the transfer of tokens and the minting or burning of shares are not atomic, meaning they are not executed in one transaction. If the transaction fails halfway, it could lead to an inconsistent state of the contract.</t>
  </si>
  <si>
    <t xml:space="preserve">Absence of input validation</t>
  </si>
  <si>
    <t xml:space="preserve">The `mint` and `burn` functions do not validate the `_shares` input parameter. If `_shares` is zero or a very large number, it could lead to unexpected results.</t>
  </si>
  <si>
    <t xml:space="preserve">Absence of Re-entrancy guard</t>
  </si>
  <si>
    <t xml:space="preserve">The `mint` and `burn` functions call the external `transferFrom` and `transfer` methods of the `ibbtc` contract, but they don't have a re-entrancy guard to prevent potential re-entrancy attacks.</t>
  </si>
  <si>
    <t xml:space="preserve">The functions `transferFrom` and `transfer` use a function called `balanceToShares` to convert the `amount` into `amountInShares`. This function uses the `pricePerShare` variable, which could lead to erroneous accounting if the `pricePerShare` is not updated frequently or correctly.</t>
  </si>
  <si>
    <t xml:space="preserve">The functions `balanceOf` and `totalSupply` also use the `pricePerShare` to calculate the balance or total supply. Again, this could lead to erroneous accounting if the `pricePerShare` is not updated frequently or correctly.</t>
  </si>
  <si>
    <t xml:space="preserve">updatePricePerShare</t>
  </si>
  <si>
    <t xml:space="preserve">Possible Stale Data</t>
  </si>
  <si>
    <t xml:space="preserve">The `updatePricePerShare` function is permissionless, and anyone can call it to update the `pricePerShare`. However, the contract does not enforce the frequency of updates, which could lead to stale data if not updated regularly.</t>
  </si>
  <si>
    <t xml:space="preserve">47_2</t>
  </si>
  <si>
    <t xml:space="preserve">mint and burn</t>
  </si>
  <si>
    <t xml:space="preserve">Potential re-entrancy attack</t>
  </si>
  <si>
    <t xml:space="preserve">The `mint` and `burn` functions call external contracts (`ibbtc.transferFrom` and `ibbtc.transfer` respectively) after a state change. If the ibbtc contract is malicious, it could potentially make a re-entrant call into the contract.</t>
  </si>
  <si>
    <t xml:space="preserve">Re-entrancy Attack</t>
  </si>
  <si>
    <t xml:space="preserve">The `mint` and `burn` functions don't validate the `_shares` input. If `_shares` is an extremely high value, it could potentially overflow.</t>
  </si>
  <si>
    <t xml:space="preserve">Front-running Attack</t>
  </si>
  <si>
    <t xml:space="preserve">The `updatePricePerShare` function is public and can be called by anyone. This could potentially allow an attacker to front-run transactions by updating the price per share before executing their own transactions.</t>
  </si>
  <si>
    <t xml:space="preserve">Timestamp Manipulation</t>
  </si>
  <si>
    <t xml:space="preserve">The `updatePricePerShare` function relies on the `now` keyword (alias for `block.timestamp`). Miners have some leeway in manipulating this value, which could potentially impact the logic of your smart contract.</t>
  </si>
  <si>
    <t xml:space="preserve">balanceToShares, sharesToBalance</t>
  </si>
  <si>
    <t xml:space="preserve">Incorrect Calculation</t>
  </si>
  <si>
    <t xml:space="preserve">The functions `balanceToShares` and `sharesToBalance` use a magic number `1e18`. It would be better to define this value as a constant at the beginning of the contract to improve readability and maintainability.</t>
  </si>
  <si>
    <t xml:space="preserve">47_3</t>
  </si>
  <si>
    <t xml:space="preserve">transferFrom</t>
  </si>
  <si>
    <t xml:space="preserve">Underflow Error</t>
  </si>
  <si>
    <t xml:space="preserve">The function "transferFrom" is susceptible to an underflow error when the allowance is less than the amount to transfer. This can occur due to the use of the Solidity's "sub" function without a proper check before that to ensure the allowance is greater than or equal to the amount.</t>
  </si>
  <si>
    <t xml:space="preserve">The function "updatePricePerShare" is using the "now" keyword for the timestamp. This can be manipulated by miners in Ethereum and is not a reliable source of time.</t>
  </si>
  <si>
    <t xml:space="preserve">Lack of event after state-changing action</t>
  </si>
  <si>
    <t xml:space="preserve">After changing the contract's state in the "mint" and "burn" functions, there is no event emitted. This can make it harder to track contract interactions and state changes.</t>
  </si>
  <si>
    <t xml:space="preserve">Reentrancy Attack</t>
  </si>
  <si>
    <t xml:space="preserve">The function "burn" is susceptible to a reentrancy attack. The external call to the ibbtc token's transfer function is made before the state (_burn) is updated. This can potentially allow for recursive calls back into the contract before its state is settled.</t>
  </si>
  <si>
    <t xml:space="preserve">Overflows Error</t>
  </si>
  <si>
    <t xml:space="preserve">The functions "balanceToShares" and "sharesToBalance" have potential overflow issues due to multiplication with 1e18. If the input values are too large, the multiplication can cause an overflow.</t>
  </si>
  <si>
    <t xml:space="preserve">transfer, transferFrom</t>
  </si>
  <si>
    <t xml:space="preserve">In the "transfer" and "transferFrom" functions, there is no check to ensure that the "recipient" address is not the zero address. This can lead to accidental loss of tokens.</t>
  </si>
  <si>
    <t xml:space="preserve">pricePerShare, balanceToShares, sharesToBalance</t>
  </si>
  <si>
    <t xml:space="preserve">Oracle Manipulation</t>
  </si>
  <si>
    <t xml:space="preserve">The contract relies on an external oracle for the price per share. This could be manipulated by a malicious oracle or if the oracle contract is compromised. The functions "pricePerShare", "balanceToShares", and "sharesToBalance" are potentially affected.</t>
  </si>
  <si>
    <t xml:space="preserve">49_2</t>
  </si>
  <si>
    <t xml:space="preserve">fetchPricePoint, computeDepth</t>
  </si>
  <si>
    <t xml:space="preserve">The contract does not use SafeMath for uint operations which means there can be cases of overflow or underflow. Although Solidity 0.8.0 has built-in overflow and underflow protection, it is still necessary to handle such cases where the contract can revert because of an overflow or underflow error.</t>
  </si>
  <si>
    <t xml:space="preserve">Integer Division</t>
  </si>
  <si>
    <t xml:space="preserve">Solidity rounds down the results of integer divisions. In the functions `fetchPricePoint` and `computeDepth`, such divisions can lead to imprecision in the calculations, especially when dealing with small values.</t>
  </si>
  <si>
    <t xml:space="preserve">Constructor</t>
  </si>
  <si>
    <t xml:space="preserve">Potential Uninitialized Storage Reference</t>
  </si>
  <si>
    <t xml:space="preserve">The constructor is calling four other contracts or libraries via their constructors. If any of these contracts fail to initialize properly, the state of the OverlayV1UniswapV3Market contract could be unpredictable or incorrect.</t>
  </si>
  <si>
    <t xml:space="preserve">49_3</t>
  </si>
  <si>
    <t xml:space="preserve">computeDepth</t>
  </si>
  <si>
    <t xml:space="preserve">In the `computeDepth` function, there is a risk of precision loss when dividing `_marketLiquidity * 1e18` by `_ovlPrice`. Solidity performs integer division, where the fractional part is discarded. This could result in a lower than expected `depth_` value, especially if `_ovlPrice` is significantly larger than `_marketLiquidity`.</t>
  </si>
  <si>
    <t xml:space="preserve">_tickToPrice</t>
  </si>
  <si>
    <t xml:space="preserve">In the `_tickToPrice` function, if `sqrtRatioX96` is larger than `type(uint128).max`, there is a risk of arithmetic overflow when performing `sqrtRatioX96 * sqrtRatioX96`. Also, the use of `1 &lt;&lt; 192` or `1 &lt;&lt; 128` might not be safe in the event of large `baseAmount` values.</t>
  </si>
  <si>
    <t xml:space="preserve">fetchPricePoint</t>
  </si>
  <si>
    <t xml:space="preserve">Potential Revert due to Casting</t>
  </si>
  <si>
    <t xml:space="preserve">In the `fetchPricePoint` function, casting a `uint32` to `int32` and then again to `int56` might cause the function to revert if the original `uint32` value is larger than the maximum value an `int32` can hold.</t>
  </si>
  <si>
    <t xml:space="preserve">Potential Revert due to Integer Underflow</t>
  </si>
  <si>
    <t xml:space="preserve">In the `fetchPricePoint` function, there's an operation ` _liqs[0] - _liqs[1]` which can potentially underflow if `_liqs[1]` is larger than `_liqs[0]`.</t>
  </si>
  <si>
    <t xml:space="preserve">calculateLoss</t>
  </si>
  <si>
    <t xml:space="preserve">Incorrect Order of Calculations/Rounding Error</t>
  </si>
  <si>
    <t xml:space="preserve">In the function calculateLoss, you have two instances of an operation of the form `(A * B) / C`. Due to the nature of integer division in Solidity, this might not yield the expected results. Specifically, if `(A * B) &lt; C`, the result of the operation will be `0`. The correct order of operations to ensure the right precedence and to avoid the rounding down to 0 before the multiplication should be</t>
  </si>
  <si>
    <t xml:space="preserve">`(A * B) / C` should be changed to `A * (B / C)`, given that `B / C` would not result in a fraction.</t>
  </si>
  <si>
    <t xml:space="preserve">Function Overloading Error</t>
  </si>
  <si>
    <t xml:space="preserve">There are two functions named `addLiquidity` with the same parameters which could cause confusion and unexpected behavior. The first `addLiquidity` function calls the second `addLiquidity` function with the exact same arguments it received, leading to a recursive call without a base case. This can cause a stack overflow error (out of gas exception).</t>
  </si>
  <si>
    <t xml:space="preserve">Incomplete Code/Logic Error</t>
  </si>
  <si>
    <t xml:space="preserve">The `_addLiquidity` function doesn't account for the scenario when a pool already exists for the provided token pair. In this case, it should determine the amountA and amountB based on the existing pool's reserves and the desired amounts. Currently, it just sets amountA and amountB equal to the desired amounts without considering the existing state of the pool.</t>
  </si>
  <si>
    <t xml:space="preserve">initialize</t>
  </si>
  <si>
    <t xml:space="preserve">Ownership Renouncement</t>
  </si>
  <si>
    <t xml:space="preserve">The `initialize` function renounces the contract's ownership after setting the reserve. This means that no further changes can be made that require owner permissions, such as updating the reserve address. It's important to consider whether this is the desired behavior.</t>
  </si>
  <si>
    <t xml:space="preserve">The `removeLiquidity` function doesn't validate if the provided tokens (tokenA and tokenB) have a corresponding pool in the factory. This can lead to unexpected behavior or errors if a pool doesn't exist for the provided tokens.</t>
  </si>
  <si>
    <t xml:space="preserve">Missing Return Values</t>
  </si>
  <si>
    <t xml:space="preserve">The `_swap` function doesn't return a value in all paths. In the case when path length is 2 and the second token in the path isn't the native asset, there's no return statement. This can lead to unexpected behavior or errors.</t>
  </si>
  <si>
    <t xml:space="preserve">Arithmetic Overflow and Underflow</t>
  </si>
  <si>
    <t xml:space="preserve">In the function `burnSynth`, there is a subtraction of two uint values, `reserveNative - amountNative`. This could potentially lead to an underflow error if `amountNative` is greater than `reserveNative`. Using SafeMath library or Solidity 0.8.0 or newer for these operations would prevent this issue.</t>
  </si>
  <si>
    <t xml:space="preserve">_update</t>
  </si>
  <si>
    <t xml:space="preserve">In the function `_update` (which is not in the provided code but it's called multiple times), there could be potential arithmetic overflows or underflows, depending on the implementation of the function. It's highly recommended to use SafeMath library or Solidity 0.8.0 or newer for these operations.</t>
  </si>
  <si>
    <t xml:space="preserve">`vaderToUsdv`</t>
  </si>
  <si>
    <t xml:space="preserve">If `_usdvEnabled` is `false`, `vaderAmount` is directly multiplied with the return value from `consult(VADER)`. However, considering the difference in decimal places between VADER and the native token, this calculation might need to be adjusted. The return value from `consult(VADER)` should probably be multiplied by `vaderAmount` and then divided by `10**decimals` to account for the decimal difference.</t>
  </si>
  <si>
    <t xml:space="preserve">`consult`</t>
  </si>
  <si>
    <t xml:space="preserve">The calculation `uint256(price) * (10**10)` assumes that the Chainlink price feed returns a price with 8 decimal places. This might not be the case for all price feeds. You should confirm the number of decimal places for the specific Chainlink price feed you're using.</t>
  </si>
  <si>
    <t xml:space="preserve">`registerPair`</t>
  </si>
  <si>
    <t xml:space="preserve">Incorrect variable</t>
  </si>
  <si>
    <t xml:space="preserve">When `token0` is not `VADER`, the pair address is set to the `_vaderPool` address. However, the `_vaderPool` is not necessarily the correct pair for `token0` and `token1`. This may lead to incorrect reserves and prices being used for this pair.</t>
  </si>
  <si>
    <t xml:space="preserve">_burn</t>
  </si>
  <si>
    <t xml:space="preserve">Potential Underflow/Overflow</t>
  </si>
  <si>
    <t xml:space="preserve">The `_burn` function contains potential underflow points with the expressions `reserveNative - amountNative` and `reserveForeign - amountForeign`. If `amountNative` or `amountForeign` is greater than their corresponding reserves, this could lead to underflow.</t>
  </si>
  <si>
    <t xml:space="preserve">The `_update` function contains potential overflow points with the expressions `balanceNative &lt;= type(uint112).max` and `balanceForeign &lt;= type(uint112).max`. If `balanceNative` or `balanceForeign` exceed their max limit, this could lead to an overflow.</t>
  </si>
  <si>
    <t xml:space="preserve">_onlyRouter, _supportedToken</t>
  </si>
  <si>
    <t xml:space="preserve">Incorrect function modifier</t>
  </si>
  <si>
    <t xml:space="preserve">These functions have been designed as view functions, but they should actually be modifiers. View functions are expected to return a value, which these do not.</t>
  </si>
  <si>
    <t xml:space="preserve">In the `swap` function, it's expected that either `nativeAmountIn` or `foreignAmountIn` should be greater than zero, but not both. However, if both are greater than zero, there is no check or error message for this case, which can lead to unexpected behavior.</t>
  </si>
  <si>
    <t xml:space="preserve">rescue</t>
  </si>
  <si>
    <t xml:space="preserve">In the `rescue` function, the smart contract transfers tokens to `msg.sender`, which can be any address. This could be a potential security risk if an unexpected address calls this function.</t>
  </si>
  <si>
    <t xml:space="preserve">Unchecked Math</t>
  </si>
  <si>
    <t xml:space="preserve">In the `mint` function, there is unchecked addition `totalLiquidityUnits + liquidity`. If the sum of these two values exceeds the maximum uint256 value, it will cause an overflow.</t>
  </si>
  <si>
    <t xml:space="preserve">Incorrect SafeMath Operation</t>
  </si>
  <si>
    <t xml:space="preserve">In the 'burnFungible' function, there is a subtraction operation in 'pair.totalSupply = _totalSupply - liquidity;' without using SafeMath which can lead to underflow if '_totalSupply' is less than 'liquidity'.</t>
  </si>
  <si>
    <t xml:space="preserve">The function '_update' is being called with operations like addition and subtraction of 'reserveNative' and 'reserveForeign' with 'nativeDeposit' and 'foreignDeposit' respectively, without using SafeMath, which can lead to underflow or overflow.</t>
  </si>
  <si>
    <t xml:space="preserve">In the 'mintSynth' function, there's an addition operation in '_update' call without using SafeMath which can lead to overflow if 'reserveNative' and 'nativeDeposit' are large enough.</t>
  </si>
  <si>
    <t xml:space="preserve">In the 'mintFungible' function, there are addition operations in '_update' call and 'pair.totalSupply = totalLiquidityUnits + liquidity;' without using SafeMath which can lead to overflow if the operands are large enough.</t>
  </si>
  <si>
    <t xml:space="preserve">Use of incorrect variable</t>
  </si>
  <si>
    <t xml:space="preserve">In the 'burn' function, there is a use of '_ONE_YEAR' variable which is not defined anywhere in the contract. It might lead to compilation error.</t>
  </si>
  <si>
    <t xml:space="preserve">mintSynth, burnSynth, burn, mintFungible, burnFungible</t>
  </si>
  <si>
    <t xml:space="preserve">Potential re-entrancy vulnerability</t>
  </si>
  <si>
    <t xml:space="preserve">While the 'nonReentrant' modifier is used to prevent re-entrancy attacks in the aforementioned functions, it is important to note that the 'nonReentrant' modifier implementation is not provided in the provided contract code. It's usually a part of OpenZeppelin's 'ReentrancyGuard' contract which is not imported here. If it's not implemented correctly, it might expose the contract to re-entrancy attacks.</t>
  </si>
  <si>
    <t xml:space="preserve">No validation of 'nativeDeposit' and 'foreignDeposit'</t>
  </si>
  <si>
    <t xml:space="preserve">In the 'mintFungible' function, there are no checks to ensure 'nativeDeposit' and 'foreignDeposit' are greater than zero. If either of these values are zero, it could lead to the creation of a pair with zero liquidity.</t>
  </si>
  <si>
    <t xml:space="preserve">calculateSwap</t>
  </si>
  <si>
    <t xml:space="preserve">This function assumes that `reserveIn` + `amountIn` will never be zero when it performs division operation. If both `reserveIn` and `amountIn` are zero, it will cause a division by zero error.</t>
  </si>
  <si>
    <t xml:space="preserve">calculateSwapReverse</t>
  </si>
  <si>
    <t xml:space="preserve">This function assumes `amountOut * 2` is not zero when it performs the division operation. If `amountOut` is zero, it will cause a division by zero error.</t>
  </si>
  <si>
    <t xml:space="preserve">calculateSwap, calculateSwapReverse</t>
  </si>
  <si>
    <t xml:space="preserve">Integer Overflow/Underflow</t>
  </si>
  <si>
    <t xml:space="preserve">Both these functions perform multiplication operations that could potentially result in integer overflow if the operands are very large. For example, `amountIn * reserveIn * reserveOut` in calculateSwap and `reserveIn * reserveOut` in calculateSwapReverse. Solidity 0.8.0 onwards automatically checks for these underflows and overflows, but this could still be a concern if the contract is meant to be used with older versions of Solidity.</t>
  </si>
  <si>
    <t xml:space="preserve">This function calculates `originalValue` and `releasedValue` by performing multiplication and division without checking for overflow or division by zero. If `releasedAsset` is zero, division by zero will occur.</t>
  </si>
  <si>
    <t xml:space="preserve">calculateSlipAdjustment</t>
  </si>
  <si>
    <t xml:space="preserve">The function assumes `(vaderDeposited + vaderBalance) * (assetDeposited + assetBalance)` will never be zero. If all input variables are zero, this will cause a division by zero error.</t>
  </si>
  <si>
    <t xml:space="preserve">root</t>
  </si>
  <si>
    <t xml:space="preserve">Unhandled edge case</t>
  </si>
  <si>
    <t xml:space="preserve">This function calculates the square root of a number using the Babylonian method. However, if the input is 2 or 3, it will return 1 which is not the correct square root. This could potentially lead to incorrect calculations in other functions that use the root function.</t>
  </si>
  <si>
    <t xml:space="preserve">calculateLiquidityUnits</t>
  </si>
  <si>
    <t xml:space="preserve">Incorrect calculation order</t>
  </si>
  <si>
    <t xml:space="preserve">The function performs multiplication before division which can lead to loss of precision due to integer division. The operation `totalPoolUnits * poolUnitFactor` should be performed after the division by `denominator` to minimize precision loss.</t>
  </si>
  <si>
    <t xml:space="preserve">Recursion Error</t>
  </si>
  <si>
    <t xml:space="preserve">The `addLiquidity` function appears twice, with identical parameters. This could potentially lead to a stack overflow error if the function recursively calls itself indefinitely. This could be a copy-paste mistake, or possibly an attempt at function overloading gone wrong. You should correct this to avoid potential issues.</t>
  </si>
  <si>
    <t xml:space="preserve">Uninitialized Contract</t>
  </si>
  <si>
    <t xml:space="preserve">In the `removeLiquidity` function, the `reserve.reimburseImpermanentLoss` function is called, but the `reserve` variable is not initialized in the constructor and can only be initialized via the `initialize` function. If `removeLiquidity` is called before `initialize`, this will lead to a function call on a zero-address contract, causing a failure.</t>
  </si>
  <si>
    <t xml:space="preserve">addLiquidity, _addLiquidity</t>
  </si>
  <si>
    <t xml:space="preserve">The functions `addLiquidity` and `_addLiquidity` do not validate if `tokenA` and `tokenB` are the same. If they are the same, this could lead to unexpected behavior.</t>
  </si>
  <si>
    <t xml:space="preserve">Missing Return Values for Failure Cases</t>
  </si>
  <si>
    <t xml:space="preserve">In the `_swap` function, if `path.length` is not equal to 2 or 3, there is no return statement. This could lead to unexpected return value issues if `_swap` is called with an invalid `path`.</t>
  </si>
  <si>
    <t xml:space="preserve">Missing Error Message</t>
  </si>
  <si>
    <t xml:space="preserve">In the `initialize` function, the `require` statement doesn't include an error message. While this is not a bug per se, it is good practice to include an error message to make debugging easier if the condition fails.</t>
  </si>
  <si>
    <t xml:space="preserve">doubleSwap</t>
  </si>
  <si>
    <t xml:space="preserve">Even though the contract uses the ReentrancyGuard, there is a potential reentrancy attack in the doubleSwap function. The function calls the foreignAssetB.safeTransfer(to, foreignAmountOut) at the end of the function, but the state variables are updated before this. If the "to" address is a malicious contract, it can call back into doubleSwap before the transfer function finishes executing. This attack could potentially manipulate the state variables or drain the contract funds.</t>
  </si>
  <si>
    <t xml:space="preserve">constructor, mint, burn, doubleSwap, swap, rescue</t>
  </si>
  <si>
    <t xml:space="preserve">The contract doesn't seem to validate the input parameters in many of its functions. For instance, the constructor function doesn't verify if _nativeAsset is a valid address or not. Similarly, in the mint, burn, doubleSwap, swap, and rescue functions, there's no validation for the parameters received. This could potentially lead to unexpected behavior.</t>
  </si>
  <si>
    <t xml:space="preserve">_burn, _update</t>
  </si>
  <si>
    <t xml:space="preserve">Integer Underflow</t>
  </si>
  <si>
    <t xml:space="preserve">The _burn function calculates amountNative and amountForeign by multiplying liquidity with reserves and dividing by _totalSupply. If _totalSupply is larger than the product of liquidity and reserves, this will underflow and become a very large number. Also, in the _update function, balanceNative and balanceForeign are subtracted from without any checks. If the subtracted amount is larger, it will underflow and become a very large number.</t>
  </si>
  <si>
    <t xml:space="preserve">58_2</t>
  </si>
  <si>
    <t xml:space="preserve">The "deposit" function uses an error message "BF" when the balance factor equals 0. The error message is not descriptive and might confuse users or developers. A more explicit error message might be used, like "Balance factor cannot be zero."</t>
  </si>
  <si>
    <t xml:space="preserve">In the "withdraw" function, there's a possibility that the total supply could be zero, causing a division by zero error when calculating tokenAmounts[i]. This could be mitigated by checking if the total supply is greater than zero before performing the division.</t>
  </si>
  <si>
    <t xml:space="preserve">_chargeFees</t>
  </si>
  <si>
    <t xml:space="preserve">Incorrect Variable Use</t>
  </si>
  <si>
    <t xml:space="preserve">In the "_chargeFees" function, the elapsed time is calculated by subtracting lastFeeCharge from the current block timestamp. However, if this function is called before any fee has been charged, lastFeeCharge would be zero, causing the elapsed time to be incorrectly calculated as the current timestamp. This could lead to incorrect fee charges.</t>
  </si>
  <si>
    <t xml:space="preserve">59_1</t>
  </si>
  <si>
    <t xml:space="preserve">getRealBurnBudget</t>
  </si>
  <si>
    <t xml:space="preserve">In the 'getRealBurnBudget' function, 'usableExcess' is calculated by subtracting 'premiumExcess' from 'maxBurnSpend'. If 'premiumExcess' is greater than 'maxBurnSpend', it will result in an underflow. Although the contract uses SafeMath, it is still important to handle these cases to prevent unexpected behavior.</t>
  </si>
  <si>
    <t xml:space="preserve">getPegDeltaFrequency</t>
  </si>
  <si>
    <t xml:space="preserve">Potential Division by Zero</t>
  </si>
  <si>
    <t xml:space="preserve">In the 'getPegDeltaFrequency' function, the variable 'total' is divided by 'auctionAverageLookback'. If 'auctionAverageLookback' is set to 0, this will cause a division by zero error. Although there's a require statement in 'setAuctionAverageLookback' that prevents setting this variable to zero, it's still important to handle such cases to prevent unexpected behavior.</t>
  </si>
  <si>
    <t xml:space="preserve">getAverageParticipation, getPegDeltaFrequency</t>
  </si>
  <si>
    <t xml:space="preserve">In 'getAverageParticipation' and 'getPegDeltaFrequency' functions, there are loops that iterate through auctions or observations. These loops are potentially unbounded as the number of auctions or observations increases, leading to possible high gas costs or out-of-gas errors.</t>
  </si>
  <si>
    <t xml:space="preserve">In the 'initialize' function, there is no validation of the input addresses for '_timelock', 'initialAdmin', '_stabilizerNode', and '_auction'. It's possible to input the zero address (0x0) for these parameters, which would likely cause unintended behavior in the contract. It's generally a good practice to add require statements to validate that these addresses are not the zero address.</t>
  </si>
  <si>
    <t xml:space="preserve">_getIndexOfObservation</t>
  </si>
  <si>
    <t xml:space="preserve">Improper use of 'public' visibility</t>
  </si>
  <si>
    <t xml:space="preserve">The '_getIndexOfObservation' function is marked as 'internal', which means it can only be called from within this contract or contracts deriving from it. However, it's used in public view functions, which means external callers can effectively call this function by calling these public functions. If this function isn't intended to be usable by external callers, it would be a good idea to reassess the design of this contract to avoid exposing this functionality.</t>
  </si>
  <si>
    <t xml:space="preserve">`_calculateMaltRequiredForExit`</t>
  </si>
  <si>
    <t xml:space="preserve">Over/Underflow Error</t>
  </si>
  <si>
    <t xml:space="preserve">This function is using division and multiplication operations which could lead to overflow/underflow errors. Solidity does not throw an error when a number is divided by zero, it will instead return zero. Also, multiplication operations could overflow if the operands are too large. To prevent these potential overflows/underflows, consider using SafeMath for these operations. Specifically, you should consider using SafeMath for the following operations</t>
  </si>
  <si>
    <t xml:space="preserve">`exitEarly`</t>
  </si>
  <si>
    <t xml:space="preserve">This function is not checking if the `amountOut` is greater than `minOut` before updating the `auctionExits`. In case the `amountOut` is less than `minOut`, the function will revert but not before updating the `auctionExits`. To correct this, the `require(amountOut &gt; minOut, "EarlyExit</t>
  </si>
  <si>
    <t xml:space="preserve">Insufficient output");` statement should be moved up before the `auctionExits` are updated.</t>
  </si>
  <si>
    <t xml:space="preserve">In this function, the calculation of `amount` is based on the `userCommitment` and `userRedeemed`. However, these values are not updated in the function. If `amount` is greater than `userCommitment - userRedeemed`, `amount` is set to `userCommitment - userRedeemed`. This may not be the desired behavior as it could lead to an erroneous calculation of `amount`. Consider updating `userCommitment` and `userRedeemed` before calculating `amount`.</t>
  </si>
  <si>
    <t xml:space="preserve">`earlyExitReturn`</t>
  </si>
  <si>
    <t xml:space="preserve">In the function `earlyExitReturn`, the calculation for `maxProfit` is done with the formula `(fullReturn - amount) * (maxEarlyExitBps * progressionBps / 10000) / 1000`. The multiplication and division operations are not in parentheses which could lead to incorrect calculation due to operator precedence. You should consider using parentheses to ensure the correct order of operations. The correct expression should be `((fullReturn - amount) * (maxEarlyExitBps * progressionBps)) / (10000 * 1000)`.</t>
  </si>
  <si>
    <t xml:space="preserve">59_2</t>
  </si>
  <si>
    <t xml:space="preserve">consult()</t>
  </si>
  <si>
    <t xml:space="preserve">The skew calculation `(frequency + (participation * 2)) / 3;` suffers from precision loss due to integer division. This could lead to slightly inaccurate results.</t>
  </si>
  <si>
    <t xml:space="preserve">getAverageParticipation()</t>
  </si>
  <si>
    <t xml:space="preserve">Integer overflow</t>
  </si>
  <si>
    <t xml:space="preserve">In the line `aggregate.maxCommitments = aggregate.maxCommitments + maxCommitments;` and `aggregate.commitments = aggregate.commitments + commitments;`, there is a potential for integer overflow which could lead to incorrect calculations.</t>
  </si>
  <si>
    <t xml:space="preserve">setAuctionAverageLookback()</t>
  </si>
  <si>
    <t xml:space="preserve">Unbounded array size</t>
  </si>
  <si>
    <t xml:space="preserve">There's no check for the maximum size of the `pegObservations` array. This could lead to out of gas errors if the array becomes too large. It could also be exploited to fill up the blockchain storage.</t>
  </si>
  <si>
    <t xml:space="preserve">getRealBurnBudget()</t>
  </si>
  <si>
    <t xml:space="preserve">Integer underflow</t>
  </si>
  <si>
    <t xml:space="preserve">In the line `uint256 usableExcess = maxBurnSpend.sub(premiumExcess);`, it is not checked whether `maxBurnSpend` is greater than or equal to `premiumExcess` before the subtraction. This can potentially cause an underflow if `premiumExcess` is larger than `maxBurnSpend`.</t>
  </si>
  <si>
    <t xml:space="preserve">exitEarly</t>
  </si>
  <si>
    <t xml:space="preserve">In the `exitEarly` function, there is a lack of validation for the `amount` input. This could potentially lead to negative values, or values that are too high, being used in the function. A require statement should be added to ensure that the `amount` is greater than 0 and less than or equal to the user's balance.</t>
  </si>
  <si>
    <t xml:space="preserve">earlyExitReturn</t>
  </si>
  <si>
    <t xml:space="preserve">There could be a potential for underflow in the `earlyExitReturn` function. The line `uint256 userOutstanding = userCommitment - userRedeemed;` assumes that `userCommitment` is always larger than or equal to `userRedeemed`. If for some reason it isn't, this could lead to an underflow error. There should be a check to ensure `userRedeemed` is not larger than `userCommitment`.</t>
  </si>
  <si>
    <t xml:space="preserve">_calculateMaltRequiredForExit</t>
  </si>
  <si>
    <t xml:space="preserve">The same potential for underflow exists in the `_calculateMaltRequiredForExit` function as well, with the line `if (amount &gt; (userCommitment - userRedeemed))`. It should be checked that `userRedeemed` is not larger than `userCommitment` before this calculation.</t>
  </si>
  <si>
    <t xml:space="preserve">setEarlyExitBps</t>
  </si>
  <si>
    <t xml:space="preserve">In the function `setEarlyExitBps`, the requirement checks if `_earlyExitBps` is greater than 0 and less than or equal to 1000, but the comment above says it should be between 0-100%. It looks like a mismatch between the comment and the actual code. The comment should be updated to reflect the actual requirement or vice versa.</t>
  </si>
  <si>
    <t xml:space="preserve">earlyExitReturn and _calculateMaltRequiredForExit</t>
  </si>
  <si>
    <t xml:space="preserve">Division before multiplication can lead to loss of precision due to integer division. `maltQuantity.mul(currentPrice) / pegPrice;` this should be rearranged to `maltQuantity.mul(currentPrice).div(pegPrice);` to prevent the loss of precision.</t>
  </si>
  <si>
    <t xml:space="preserve">59_3</t>
  </si>
  <si>
    <t xml:space="preserve">`setEarlyExitBps`</t>
  </si>
  <si>
    <t xml:space="preserve">Input validation</t>
  </si>
  <si>
    <t xml:space="preserve">This function allows setting a value that's higher than 100% which is probably not intended. It should validate that the input value is between 0 and 1000.</t>
  </si>
  <si>
    <t xml:space="preserve">`initialize`</t>
  </si>
  <si>
    <t xml:space="preserve">Zero address check</t>
  </si>
  <si>
    <t xml:space="preserve">The function should include require statements to check that none of the address parameters are the zero address.</t>
  </si>
  <si>
    <t xml:space="preserve">`getPegDeltaFrequency()`</t>
  </si>
  <si>
    <t xml:space="preserve">The multiplication with `10000` should be done after the division to avoid loss of precision due to rounding errors.</t>
  </si>
  <si>
    <t xml:space="preserve">`getAverageParticipation()`</t>
  </si>
  <si>
    <t xml:space="preserve">Incorrect Use of Variables</t>
  </si>
  <si>
    <t xml:space="preserve">The variable `initialAuction` should ideally not start from 0 if the `currentAuctionId` is less than `auctionAverageLookback`. This may lead to performance issues with large auction history.</t>
  </si>
  <si>
    <t xml:space="preserve">`consult(uint256 excess)`</t>
  </si>
  <si>
    <t xml:space="preserve">Potential Overflow</t>
  </si>
  <si>
    <t xml:space="preserve">The calculation `(frequency + (participation * 2)) / 3` could potentially overflow if `participation` is very large. This is unlikely given the function's context, but it's good practice to consider the maximum possible values a variable can hold.</t>
  </si>
  <si>
    <t xml:space="preserve">60_1</t>
  </si>
  <si>
    <t xml:space="preserve">settleAccount</t>
  </si>
  <si>
    <t xml:space="preserve">In the `settleAccount` function, the `shortfall` is first calculated based on the `newBalance` and then added to `self.shortfall`. However, then `newBalance` is set to zero if it was negative, and `self.balances[account]` is updated with `newBalance.abs()`. This could lead to an incorrect value in `self.balances[account]` if `newBalance` was negative. Then, `self.shortfall` is updated again with `shortfall`. This may lead to `self.shortfall` being larger than it should be, as `shortfall` was calculated based on the old `newBalance`. The order of calculations should be reconsidered to avoid this potential bug.</t>
  </si>
  <si>
    <t xml:space="preserve">60_2</t>
  </si>
  <si>
    <t xml:space="preserve">debitAccount</t>
  </si>
  <si>
    <t xml:space="preserve">There is no check for whether the account has enough balance before debiting the amount. This could lead to underflow if the amount to be debited is greater than the account balance. This can be avoided by adding a condition to check if the balance is greater than or equal to the amount to be debited.</t>
  </si>
  <si>
    <t xml:space="preserve">Similarly, in the settleAccount function, there is no check before subtracting the amount from the account balance. This could result in an underflow if the amount is greater than the account balance. A condition to check if the balance is greater than or equal to the amount to be subtracted should be added.</t>
  </si>
  <si>
    <t xml:space="preserve">In the settleAccount function, the shortfall is added twice when the newBalance is negative. Once within the if block and once after the if block. This could result in an inaccurate calculation of the shortfall. The shortfall should only be updated once in the if block.</t>
  </si>
  <si>
    <t xml:space="preserve">60_3</t>
  </si>
  <si>
    <t xml:space="preserve">Multiple</t>
  </si>
  <si>
    <t xml:space="preserve">Safety checks and Events missing</t>
  </si>
  <si>
    <t xml:space="preserve">The contract lacks safety checks (like require or assert) and events, which are considered good practices in Solidity contracts.</t>
  </si>
  <si>
    <t xml:space="preserve">61_1</t>
  </si>
  <si>
    <t xml:space="preserve">emergencyWithdraw, lockTokens, unlockTokens, unlockShares</t>
  </si>
  <si>
    <t xml:space="preserve">Even though you're using the `nonReentrant` modifier from the `ReentrancyGuard` contract to protect against reentrancy attacks, it's important to be aware of this type of bug. This modifier prevents nested calls back into the contract until the function has finished executing, which can protect against reentrancy vulnerabilities. However, if the `ReentrancyGuard` contract were misused or omitted in a future update, this could become an issue.</t>
  </si>
  <si>
    <t xml:space="preserve">updateProtocolAddresses</t>
  </si>
  <si>
    <t xml:space="preserve">The function `updateProtocolAddresses` is used to update liquidity token for an asset. However, there is no validation to check whether the given `_asset` or `_liquidityToken` address is a valid contract address or not. Passing an incorrect or malicious contract address can lead to unexpected results.</t>
  </si>
  <si>
    <t xml:space="preserve">_updateSavingsAccount</t>
  </si>
  <si>
    <t xml:space="preserve">There is an event `SavingsAccountUpdated` emitted in the `_updateSavingsAccount` function, however, you didn't declare this event in the contract. If this event is used for tracking changes, you should declare it.</t>
  </si>
  <si>
    <t xml:space="preserve">getSharesForTokens</t>
  </si>
  <si>
    <t xml:space="preserve">Potential loss of precision</t>
  </si>
  <si>
    <t xml:space="preserve">The function `getSharesForTokens` is used to calculate the number of shares for a given amount of tokens. However, the calculation involves division operation, which might lead to precision loss. You might want to consider implementing a rounding mechanism.</t>
  </si>
  <si>
    <t xml:space="preserve">66_1</t>
  </si>
  <si>
    <t xml:space="preserve">_buyBack</t>
  </si>
  <si>
    <t xml:space="preserve">Re-entrancy bug</t>
  </si>
  <si>
    <t xml:space="preserve">This function includes an external call to `IsYETIRouter(_routerAddress).swap(_YUSDToSell, _YETIOutMin, address(this));` before the state variable `lastBuybackTime` is updated. This could potentially expose the contract to a re-entrancy attack where the `swap` function could call back into `publicBuyBack` before `lastBuybackTime` is updated.</t>
  </si>
  <si>
    <t xml:space="preserve">Function access control</t>
  </si>
  <si>
    <t xml:space="preserve">The `mint` function is public and lacks any access control, allowing any address to call it and potentially manipulate the total supply of tokens. This could potentially lead to an inflation attack.</t>
  </si>
  <si>
    <t xml:space="preserve">Division by zero</t>
  </si>
  <si>
    <t xml:space="preserve">In the `_burn` function, there is a division calculation `uint256 amount = (shares * effectiveYetiTokenBalance) / totalSupply;`. If `totalSupply` is zero, this would cause a division by zero error.</t>
  </si>
  <si>
    <t xml:space="preserve">publicBuyBack</t>
  </si>
  <si>
    <t xml:space="preserve">Incorrect use of SafeMath library</t>
  </si>
  <si>
    <t xml:space="preserve">In the `publicBuyBack` function, there is a division calculation `uint256 YUSDToSell = div(YUSDBalance.mul(5), 100);`. However, this could be done more safely and efficiently with Solidity's SafeMath library, as `uint256 YUSDToSell = YUSDBalance.mul(5).div(100);`.</t>
  </si>
  <si>
    <t xml:space="preserve">In the `_burn` function, `users[from].balance = user.balance.sub(shares.to128());` might lead to underflow if the `shares` is greater than `user.balance`. The use of the `sub` function from the SafeMath library would throw an error if an underflow occurred, but there are no checks or error messages to make this clear to users.</t>
  </si>
  <si>
    <t xml:space="preserve">66_3</t>
  </si>
  <si>
    <t xml:space="preserve">Logic error</t>
  </si>
  <si>
    <t xml:space="preserve">The `_buyBack` function is not updating `effectiveYetiTokenBalance` after buying back tokens. This could lead to an inconsistency between the real balance of YETI tokens in the contract and the `effectiveYetiTokenBalance` variable, which is used in calculations like `mint` and `burn` functions.</t>
  </si>
  <si>
    <t xml:space="preserve">The `mint` function allows any user to mint new sYETI tokens by simply calling the function with the desired amount of YETI to be staked. However, the function does not check whether the user has sufficient YETI balance before minting the new sYETI tokens.</t>
  </si>
  <si>
    <t xml:space="preserve">burn, _burn</t>
  </si>
  <si>
    <t xml:space="preserve">The `burn` and `_burn` functions remove sYETI tokens from the total supply and transfer YETI tokens to the user. However, these functions do not check if the contract has enough YETI tokens to transfer to the user. This could lead to a situation where the contract's YETI balance is less than the amount it tries to transfer, causing the transfer to fail.</t>
  </si>
  <si>
    <t xml:space="preserve">setAddresses</t>
  </si>
  <si>
    <t xml:space="preserve">Access control bug</t>
  </si>
  <si>
    <t xml:space="preserve">The `setAddresses` function allows the owner to set the addresses of the YETI and YUSD tokens. However, there is no mechanism in place to prevent the owner from setting these addresses multiple times, which could potentially allow the owner to change the addresses after they have been initially set. This could be a serious security risk.</t>
  </si>
  <si>
    <t xml:space="preserve">Arithmetic Precision Error</t>
  </si>
  <si>
    <t xml:space="preserve">The `publicBuyBack` function calculates 5% of the YUSD balance in the contract using integer division, which could lead to precision loss. This might not be a critical issue, but it can lead to minor discrepancies in the calculations over time.</t>
  </si>
  <si>
    <t xml:space="preserve">rebase</t>
  </si>
  <si>
    <t xml:space="preserve">Arithmetic Overflow Error</t>
  </si>
  <si>
    <t xml:space="preserve">The `rebase` function includes multiplication operations without using SafeMath, which could potentially lead to arithmetic overflow. For example, in the calculation `valueOfContract.mul(transferRatio)`, if the values of `valueOfContract` and `transferRatio` are large enough, the result could exceed the maximum value for uint256, causing an overflow.</t>
  </si>
  <si>
    <t xml:space="preserve">Missing event emission</t>
  </si>
  <si>
    <t xml:space="preserve">In the `rebase` function, the `effectiveYetiTokenBalance` is updated, but there is no event emitted to track this change. This could make it harder to monitor and verify the changes in the `effectiveYetiTokenBalance` variable.</t>
  </si>
  <si>
    <t xml:space="preserve">_updateVaderPrice</t>
  </si>
  <si>
    <t xml:space="preserve">In the function `_updateVaderPrice`, you are performing subtraction without checking for underflows (nativeTokenPriceCumulative - pairData.nativeTokenPriceCumulative) / timeElapsed. An unchecked underflow could lead to unexpected behavior.</t>
  </si>
  <si>
    <t xml:space="preserve">_updateUSDVPrice</t>
  </si>
  <si>
    <t xml:space="preserve">Similarly, in the function `_updateUSDVPrice`, subtraction without checking for underflows is performed (nativeTokenPriceCumulative - pairData.nativeTokenPriceCumulative) / timeElapsed.</t>
  </si>
  <si>
    <t xml:space="preserve">getVaderPrice, getUSDVPrice</t>
  </si>
  <si>
    <t xml:space="preserve">Both functions call syncVaderPrice() and syncUSDVPrice() which change the state of the contract and then return values based on the state. If the state-changing function is called by an external contract, it could potentially lead to a reentrancy attack. Although this might not be a direct issue in your case, it's generally safer to avoid state changes after external calls.</t>
  </si>
  <si>
    <t xml:space="preserve">_calculateVaderPrice, _calculateUSDVPrice</t>
  </si>
  <si>
    <t xml:space="preserve">Floating Point Precision</t>
  </si>
  <si>
    <t xml:space="preserve">Both functions perform division and multiplication with decimal numbers. Solidity doesn't natively support floating-point numbers, so the operations may lead to precision errors.</t>
  </si>
  <si>
    <t xml:space="preserve">_addVaderPair, _addUSDVPair</t>
  </si>
  <si>
    <t xml:space="preserve">Use of `block.timestamp`</t>
  </si>
  <si>
    <t xml:space="preserve">The use of `block.timestamp` can be manipulated by miners to a certain degree. Depending on how critical the timing is in your contract, this could be a potential problem.</t>
  </si>
  <si>
    <t xml:space="preserve">There are various instances where the contract makes external calls to oracles and other contracts. If these external calls fail, the contract might behave unexpectedly. It's always good practice to check the success of external calls.</t>
  </si>
  <si>
    <t xml:space="preserve">These functions do not validate if the provided pair or foreignAsset address is a valid contract address.</t>
  </si>
  <si>
    <t xml:space="preserve">grant</t>
  </si>
  <si>
    <t xml:space="preserve">In the function 'grant', the calculation of the amount to grant is done using integer division before multiplication, this can lead to loss of precision due to truncation. Specifically, `(reserve() * _MAX_GRANT_BASIS_POINTS) / _MAX_BASIS_POINTS` should be rewritten to `(reserve() / _MAX_BASIS_POINTS) * _MAX_GRANT_BASIS_POINTS` to ensure no precision is lost.</t>
  </si>
  <si>
    <t xml:space="preserve">reimburseImpermanentLoss</t>
  </si>
  <si>
    <t xml:space="preserve">Overflow risk</t>
  </si>
  <si>
    <t xml:space="preserve">In the 'reimburseImpermanentLoss' function, there is a risk of overflow in the calculation `amount = amount * vaderPrice;`. Solidity does not handle integer overflows or underflows, so it's important to include checks that prevent these operations from occurring.</t>
  </si>
  <si>
    <t xml:space="preserve">The function 'reimburseImpermanentLoss' assumes that the value of `lbt.previousPrices(uint256(ILiquidityBasedTWAP.Paths.USDV))` is non-zero. However, if this value is 0, it could result in an unexpected value for the calculation `amount = amount / usdvPrice;` because `usdvPrice` is undefined in this case. The function should include a check to ensure that this value is non-zero before performing the division.</t>
  </si>
  <si>
    <t xml:space="preserve">In both the `mint` and `burn` functions, the calculation of `uAmount` and `vAmount` respectively is done using integer multiplication before division. This could lead to an overflow error. The calculation should be rearranged to prevent this, i.e., `(vPrice * vAmount) / 1e18` should be rewritten as `(vPrice / 1e18) * vAmount`.</t>
  </si>
  <si>
    <t xml:space="preserve">In both the `mint` and `burn` functions, there are no checks to see if the returned `vPrice` and `uPrice` from the `lbt.getVaderPrice()` and `lbt.getUSDVPrice()` calls are zero before proceeding to use them in a division operation. This can potentially lead to a division by zero error if the values are indeed zero.</t>
  </si>
  <si>
    <t xml:space="preserve">In the `mint` function, the calculation `cycleMints += uAmount;` could potentially lead to an overflow error. Solidity does not handle integer overflows or underflows, so it's important to include checks that prevent these operations from occurring.</t>
  </si>
  <si>
    <t xml:space="preserve">`_updateVaderPrice`, `_updateUSDVPrice`</t>
  </si>
  <si>
    <t xml:space="preserve">The unchecked block in the `_updateVaderPrice` and `_updateUSDVPrice` functions doesn't handle the case when `nativeTokenPriceCumulative` is less than `pairData.nativeTokenPriceCumulative`. The operation could result in an underflow.</t>
  </si>
  <si>
    <t xml:space="preserve">`syncVaderPrice`, `syncUSDVPrice`</t>
  </si>
  <si>
    <t xml:space="preserve">In the `syncVaderPrice` and `syncUSDVPrice` functions, the contract state `pairData.pastLiquidityEvaluation` is updated after an external call to `_updateVaderPrice` and `_updateUSDVPrice` which in turn make external calls to `getChainlinkPrice`. This could potentially lead to reentrancy attacks if the `getChainlinkPrice` function is not implemented securely.</t>
  </si>
  <si>
    <t xml:space="preserve">`getChainlinkPrice`</t>
  </si>
  <si>
    <t xml:space="preserve">Stale Oracle Data</t>
  </si>
  <si>
    <t xml:space="preserve">In the `getChainlinkPrice` function, there is a check if the latest round data is newer or equal to the roundId. However, there is no check to see if the roundId is actually recent enough. If the chainlink oracle data is stale, it might still pass this check, but the data may not reflect the actual current market price.</t>
  </si>
  <si>
    <t xml:space="preserve">`_calculateVaderPrice`, `_calculateUSDVPrice`</t>
  </si>
  <si>
    <t xml:space="preserve">Integer Overflow</t>
  </si>
  <si>
    <t xml:space="preserve">In the `_calculateVaderPrice` and `_calculateUSDVPrice` functions, there's multiplication of variables without adequate checks for potential integer overflow.</t>
  </si>
  <si>
    <t xml:space="preserve">Incorrect Zero Address Check</t>
  </si>
  <si>
    <t xml:space="preserve">In the constructor, there is a check for zero addresses. However, the check for `_vaderPool` is incorrect. It should check against address(0), not IVaderPoolV2(address(0)).</t>
  </si>
  <si>
    <t xml:space="preserve">Potential Integer Division Error</t>
  </si>
  <si>
    <t xml:space="preserve">In the function `reimburseImpermanentLoss`, there is a potential integer division error. Solidity performs integer division, which means that the division of `amount / usdvPrice` or `amount * vaderPrice` could lead to incorrect results due to truncation if `usdvPrice` or `vaderPrice` is significantly larger than `amount`. This could potentially lead to users getting reimbursed less than they should. It's recommended to use a library like OpenZeppelin's `SafeMath` or handle these cases more carefully.</t>
  </si>
  <si>
    <t xml:space="preserve">grant and reimburseImpermanentLoss</t>
  </si>
  <si>
    <t xml:space="preserve">The `grant` and `reimburseImpermanentLoss` functions use the `safeTransfer` method from the OpenZeppelin `SafeERC20` library, which makes a call to an external contract. The state variable `lastGrant` is updated after this external call in the `grant` function, which could potentially lead to a re-entrancy bug. Although `SafeERC20` mitigates some risks of re-entrancy, it's still generally best practice to make state changes before external calls to ensure contract state integrity.</t>
  </si>
  <si>
    <t xml:space="preserve">The `safeTransfer` function does not have its return value checked in both `grant` and `reimburseImpermanentLoss` functions. While the `safeTransfer` function from OpenZeppelin's `SafeERC20` library will revert if the transfer fails, there are some ERC20 tokens that do not adhere to the standard and do not return a boolean value. It would be safer to check the return value of the `safeTransfer` call to ensure it returns `true`.</t>
  </si>
  <si>
    <t xml:space="preserve">In both the `mint` and `burn` functions, there's a potential issue with integer division. Solidity performs integer division, which means that the division of `vPrice * vAmount / 1e18` or `uPrice * uAmount / 1e18` could lead to incorrect results due to truncation if `vPrice` or `uPrice` is significantly larger than `vAmount` or `uAmount` respectively. This could potentially lead to users getting minted or burned less than they should. It's recommended to use a library like OpenZeppelin's `SafeMath` or handle these cases more carefully.</t>
  </si>
  <si>
    <t xml:space="preserve">The `mint` and `burn` functions use the `transferFrom`, `burn`, `mint`, and `transfer` methods from the `IERC20Extended` contract, which makes a call to an external contract. This is done before updating state variables, which could potentially lead to a re-entrancy bug. While re-entrancy might not necessarily lead to issues in this specific case, it's generally best practice to make state changes before external calls to ensure contract state integrity.</t>
  </si>
  <si>
    <t xml:space="preserve">mint, burn, claim, claimAll</t>
  </si>
  <si>
    <t xml:space="preserve">The `transferFrom`, `burn`, `mint`, and `transfer` functions do not have their return values checked in `mint`, `burn`, `claim`, and `claimAll` functions. While these functions from OpenZeppelin's `ERC20` and `IERC20Extended` contracts will revert if the transfer or burn fails, there are some ERC20 tokens that do not adhere to the standard and do not return a boolean value. It would be safer to check the return value of these calls to ensure it returns `true`.</t>
  </si>
  <si>
    <t xml:space="preserve">Order of Operations</t>
  </si>
  <si>
    <t xml:space="preserve">In the `mint` function, the `uAmount` is calculated before checking if the `cycleMints` plus `uAmount` would exceed the `dailyLimit`. If the `cycleMints` does exceed the `dailyLimit`, the function reverts and the tokens that were transferred from the sender and burned are not returned or minted back. It would be safer to perform this check before burning the tokens.</t>
  </si>
  <si>
    <t xml:space="preserve">_calculateVaderPrice and _calculateUSDVPrice</t>
  </si>
  <si>
    <t xml:space="preserve">Semantic Error / Incorrect Variable Reference</t>
  </si>
  <si>
    <t xml:space="preserve">In the functions _calculateVaderPrice and _calculateUSDVPrice, the calculation of totalUSD is made with division by totalVaderLiquidityWeight and totalUSDVLiquidityWeight respectively. This division operation is done inside the for loop. Therefore, if the total liquidity weight is zero (which can happen if there's no liquidity in the pairs), it will cause a division by zero error. Division by zero is undefined and can cause the contract to revert or behave unpredictably.</t>
  </si>
  <si>
    <t xml:space="preserve">_updateVaderPrice and _updateUSDVPrice</t>
  </si>
  <si>
    <t xml:space="preserve">In the functions _updateVaderPrice and _updateUSDVPrice, there is unchecked division when calculating the nativeTokenPriceAverage. This unchecked division could lead to incorrect calculations if timeElapsed is zero. This could occur if multiple transactions are included in the same block or due to some other unforeseen circumstances leading to subsequent function calls within the same block. This can lead to an incorrect price average calculation.</t>
  </si>
  <si>
    <t xml:space="preserve">71_1</t>
  </si>
  <si>
    <t xml:space="preserve">The unlock function doesn't check if the insurance with the provided ID (_id) exists before accessing its properties. This can lead to unexpected behavior if an insurance with the provided ID does not exist.</t>
  </si>
  <si>
    <t xml:space="preserve">The operation `withdrawalReq[msg.sender].amount -= _amount;` can potentially underflow if `_amount` is greater than `withdrawalReq[msg.sender].amount`. This can lead to the user's withdrawal request amount becoming a very large number.</t>
  </si>
  <si>
    <t xml:space="preserve">_depositFrom</t>
  </si>
  <si>
    <t xml:space="preserve">Unhandled exception</t>
  </si>
  <si>
    <t xml:space="preserve">The function `_depositFrom` calls the function `vault.addValue`, but doesn't handle any potential reverts or exceptions that could be thrown from this function. This could cause a transaction to fail unexpectedly.</t>
  </si>
  <si>
    <t xml:space="preserve">redeem</t>
  </si>
  <si>
    <t xml:space="preserve">The redeem function updates the state of the contract after making an external call to `vault.borrowValue`. This could potentially allow for a reentrancy attack, where the called contract calls back into the redeem function before the initial call has finished.</t>
  </si>
  <si>
    <t xml:space="preserve">Incorrect comparison</t>
  </si>
  <si>
    <t xml:space="preserve">77_2</t>
  </si>
  <si>
    <t xml:space="preserve">wDiv</t>
  </si>
  <si>
    <t xml:space="preserve">The function wDiv performs integer division which could lead to precision loss because Solidity rounds down to the nearest integer during division. If 'b' is greater than 'a', the result will be zero due to how integer division works in Solidity.</t>
  </si>
  <si>
    <t xml:space="preserve">wMul</t>
  </si>
  <si>
    <t xml:space="preserve">The function wMul multiplies 'a' and 'b', which may cause an overflow if the result is greater than the max uint256. Similarly, the function diff subtracts 'a' and 'b', which may lead to underflow if 'b' is greater than 'a'.</t>
  </si>
  <si>
    <t xml:space="preserve">sqrt</t>
  </si>
  <si>
    <t xml:space="preserve">Incorrect use of function</t>
  </si>
  <si>
    <t xml:space="preserve">The sqrt function is set as internal but it is not called from within the contract, so it may not function correctly in the current context. It is recommended to change its visibility based on the need or use it correctly.</t>
  </si>
  <si>
    <t xml:space="preserve">77_3</t>
  </si>
  <si>
    <t xml:space="preserve">wDiv, wMul, calculateQty, calculateQtyToReturnAfterFees, etc.</t>
  </si>
  <si>
    <t xml:space="preserve">Solidity performs integer division, which means it rounds down. In multiple functions, this contract does division like `a / b` where `a` and `b` are integers. If `a &lt; b`, the result will always be zero, which may not be the expected outcome. You may need to account for these rounding errors in your code.</t>
  </si>
  <si>
    <t xml:space="preserve">diff, calculateAddQuoteTokenLiquidityQuantities, calculateAddBaseTokenLiquidityQuantities, etc.</t>
  </si>
  <si>
    <t xml:space="preserve">Underflow/Overflow</t>
  </si>
  <si>
    <t xml:space="preserve">Solidity's uint256 variables can underflow or overflow, which can lead to unexpected results. For instance, the `diff` function can underflow if `b &gt; a`. Likewise, the `calculateAddQuoteTokenLiquidityQuantities` and `calculateAddBaseTokenLiquidityQuantities` functions have several places where an overflow could occur. Consider using the SafeMath library, or Solidity's built-in overflow/underflow checks if you're using a version that includes them.</t>
  </si>
  <si>
    <t xml:space="preserve">calculateAddLiquidityQuantities, calculateAddTokenPairLiquidityQuantities, etc.</t>
  </si>
  <si>
    <t xml:space="preserve">Insufficient validation</t>
  </si>
  <si>
    <t xml:space="preserve">There are many places in this code where inputs are used without sufficient validation. For example, in `calculateAddLiquidityQuantities` and `calculateAddTokenPairLiquidityQuantities`, various input parameters are used without checks. This can lead to unexpected behavior or even potential security issues.</t>
  </si>
  <si>
    <t xml:space="preserve">Denial of Service (DoS)</t>
  </si>
  <si>
    <t xml:space="preserve">The `sqrt` function is a while loop that depends on the input value, and if the input is large enough, it may consume a lot of gas and block other transactions.</t>
  </si>
  <si>
    <t xml:space="preserve">redeemRate, mint, redeem</t>
  </si>
  <si>
    <t xml:space="preserve">Rounding Errors**</t>
  </si>
  <si>
    <t xml:space="preserve">Solidity doesn't natively support decimal numbers, which means that when division is performed, it can lead to rounding errors. This can create accounting errors or imprecision.</t>
  </si>
  <si>
    <t xml:space="preserve">mint, redeem</t>
  </si>
  <si>
    <t xml:space="preserve">Potential Re-Entrancy Attacks**</t>
  </si>
  <si>
    <t xml:space="preserve">The 'mint' and 'redeem' functions perform a state-changing operation after an external call which can potentially open the contract to re-entrancy attacks.</t>
  </si>
  <si>
    <t xml:space="preserve">Insufficient Balance Check**</t>
  </si>
  <si>
    <t xml:space="preserve">In the 'redeem' function, there's no explicit check that the contract has sufficient base tokens to transfer. If the contract doesn't have enough tokens, the 'transfer' function will fail and revert all changes. It would be better to include an explicit check.</t>
  </si>
  <si>
    <t xml:space="preserve">redeemRate</t>
  </si>
  <si>
    <t xml:space="preserve">Division by Zero Error</t>
  </si>
  <si>
    <t xml:space="preserve">The redeemRate function calculates the redeem rate by dividing the balance of the base token held by the contract by the total supply of the proxy token. If the total supply of the proxy token is zero, then this would result in a division by zero error. The function does attempt to catch this with an if statement that checks if the total supply is zero, but it would be better to throw an error in this case instead of returning ONE, as this could cause confusion for the user.</t>
  </si>
  <si>
    <t xml:space="preserve">Potential Re-entrancy Bug</t>
  </si>
  <si>
    <t xml:space="preserve">Although it is not a direct accounting bug, these functions have the potential for re-entrancy attacks. They first execute an external call to the ERC20 token, then update the internal state. It would be safer to follow the Checks-Effects-Interactions pattern and update the internal state before executing the external call.</t>
  </si>
  <si>
    <t xml:space="preserve">79_1</t>
  </si>
  <si>
    <t xml:space="preserve">depositAVAX</t>
  </si>
  <si>
    <t xml:space="preserve">In the function `depositAVAX`, the `newAllocation` is calculated without checking for potential overflow. This could be maliciously exploited by a bad actor who could supply a huge amount of AVAX to cause an overflow. If this were to happen, the `newAllocation` variable would roll over, and the attacker could potentially receive more tokens than they should. It is a best practice to use SafeMath for such calculations to avoid overflow and underflow errors.</t>
  </si>
  <si>
    <t xml:space="preserve">withdrawAVAX</t>
  </si>
  <si>
    <t xml:space="preserve">In the function `withdrawAVAX`, `feeAmount` is calculated without checking for potential overflow. If `_amount` is very large, the multiplication with `getPenalty()` could overflow. It is a best practice to use SafeMath for such calculations to avoid overflow and underflow errors.</t>
  </si>
  <si>
    <t xml:space="preserve">emergencyWithdraw</t>
  </si>
  <si>
    <t xml:space="preserve">Potential Re-entrancy</t>
  </si>
  <si>
    <t xml:space="preserve">In the function `emergencyWithdraw`, there is a potential re-entrancy bug as the state `user.balance` is updated after the external call `_safeTransferAVAX(msg.sender, balance)`. If the contract calling this function has a fallback function that calls back into this contract, it can call the function again before the state `user.balance` is updated. This can lead to an unexpected behavior where the user can withdraw more than they should be able to. To avoid re-entrancy bugs, you should follow the checks-effects-interactions pattern, which means you should make any external calls after you've done all the internal work necessary for the function.</t>
  </si>
  <si>
    <t xml:space="preserve">withdrawLiquidity</t>
  </si>
  <si>
    <t xml:space="preserve">Similar to the `emergencyWithdraw` function, the `withdrawLiquidity` function also updates the state `user.hasWithdrawnPair` after the external call `pair.transfer(msg.sender, balance)`, which can lead to a re-entrancy vulnerability. It is advisable to follow the checks-effects-interactions pattern to prevent such vulnerabilities.</t>
  </si>
  <si>
    <t xml:space="preserve">79_2</t>
  </si>
  <si>
    <t xml:space="preserve">Potential Underflow Bug</t>
  </si>
  <si>
    <t xml:space="preserve">In the `withdrawAVAX` function, there's a potential underflow when calculating `user.balance -= _amount;` and `wavaxReserve -= _amount;`. If `_amount` is greater than `user.balance` or `wavaxReserve`, the subtraction will underflow and result in a very large number because of the way Solidity handles underflows.</t>
  </si>
  <si>
    <t xml:space="preserve">withdrawLiquidity, withdrawIncentives</t>
  </si>
  <si>
    <t xml:space="preserve">Potential Reentrancy Bug</t>
  </si>
  <si>
    <t xml:space="preserve">The `withdrawLiquidity` and `withdrawIncentives` functions transfer tokens to an external address and then update the state variable `user.hasWithdrawnPair` and `user.hasWithdrawnIncentives` respectively. This pattern can be vulnerable to reentrancy attacks. The state variable should be updated before the transfer is made.</t>
  </si>
  <si>
    <t xml:space="preserve">In the `initialize` function, there is no check for whether the `_token` address is a zero address, which could lead to potential issues.</t>
  </si>
  <si>
    <t xml:space="preserve">Potential Overflow Bug</t>
  </si>
  <si>
    <t xml:space="preserve">In the `depositAVAX` function, there's a potential overflow when calculating `uint256 newAllocation = user.balance + msg.value;`. If the sum of `user.balance` and `msg.value` is greater than the maximum value that can be stored in a `uint256`, the addition will overflow and result in a very small number.</t>
  </si>
  <si>
    <t xml:space="preserve">Unexpected Behavior</t>
  </si>
  <si>
    <t xml:space="preserve">In the `emergencyWithdraw` function, if the caller is the issuer, all remaining tokens are sent to the issuer. However, if the caller is not the issuer, only the user's balance in WAVAX is withdrawn. The function may lead to unexpected outcomes if the issuer is also a user.</t>
  </si>
  <si>
    <t xml:space="preserve">createPair</t>
  </si>
  <si>
    <t xml:space="preserve">In the `createPair` function, it's possible that `tokenAllocated` could be zero if the `floorPrice` is set extremely high. This could lead to a division by zero error later in `tokenIncentivesForUsers = (tokenIncentivesForUsers * tokenAllocated) / tokenReserve;`. There should be a check to ensure that `tokenAllocated` is not zero.</t>
  </si>
  <si>
    <t xml:space="preserve">79_3</t>
  </si>
  <si>
    <t xml:space="preserve">initialize()</t>
  </si>
  <si>
    <t xml:space="preserve">In the `initialize()` function, `tokenIncentivesPercent` and `tokenReserve` are calculated based on the `balance` at the time of function call. However, it is not guaranteed that the `balance` will not change until `tokenIncentivesForUsers`, `tokenIncentivesBalance` are calculated. Thus, calculations may not reflect the correct `balance` at the time of these calculations. The calculations should be made immediately after the `balance` is fetched.</t>
  </si>
  <si>
    <t xml:space="preserve">withdrawAVAX(), withdrawIncentives(), emergencyWithdraw()</t>
  </si>
  <si>
    <t xml:space="preserve">Unchecked return value</t>
  </si>
  <si>
    <t xml:space="preserve">The return value of the `transfer` function is not checked in these functions. If the `transfer` function fails for some reason (for example, the recipient contract throws an exception), these functions will not notice this and will continue their execution.</t>
  </si>
  <si>
    <t xml:space="preserve">Potential reentrancy</t>
  </si>
  <si>
    <t xml:space="preserve">In these functions, external calls (`transfer`) are made before the internal state (`balance`) is updated. This could potentially allow for a reentrancy attack, where the external contract called could re-enter and drain the contract. It's always recommended to follow the Checks-Effects-Interactions pattern to avoid such potential reentrancy issues.</t>
  </si>
  <si>
    <t xml:space="preserve">initialize(), atPhase(), getPenalty()</t>
  </si>
  <si>
    <t xml:space="preserve">Incorrect use of Solidity's timestamp</t>
  </si>
  <si>
    <t xml:space="preserve">In these functions, Solidity's `block.timestamp` is used for determining the start of auctions and calculating penalties. It's important to note that `block.timestamp` can be manipulated by miners to some degree and should not be used for critical calculations. A miner could potentially manipulate the timestamp to influence the phase of the contract.</t>
  </si>
  <si>
    <t xml:space="preserve">createPair()</t>
  </si>
  <si>
    <t xml:space="preserve">In the `createPair()` function, `tokenAllocated` and `tokenIncentivesForUsers` are calculated with integer division which could lead to truncation errors. The calculations should be reordered or use a form of fixed point arithmetic to avoid truncation errors.</t>
  </si>
  <si>
    <t xml:space="preserve">Incorrect calculations, Unexpected values</t>
  </si>
  <si>
    <t xml:space="preserve">Integer overflow and underflow bugs can occur when the value computed to store in an integer is outside the range of the type. Solidity doesn't handle such cases automatically, it can lead to unexpected behavior. This could occur in the functions deposit and withdraw where arithmetic operations are performed without checks for overflows or underflows. Moreover, when the multiplication operation is performed before the division operation, it could also cause a rounding error. It is recommended to use SafeMath functions for arithmetic operations to avoid such issues.</t>
  </si>
  <si>
    <t xml:space="preserve">deposit, withdraw</t>
  </si>
  <si>
    <t xml:space="preserve">Unexpected behavior in deposit and withdraw functions</t>
  </si>
  <si>
    <t xml:space="preserve">In the deposit function, if the deposit fee is greater than 0, the user's amount is reduced by the deposit fee. In the withdraw function, the user can only withdraw if their amount is greater than 0. It might be more user-friendly to allow a withdraw of 0, which would still allow them to collect any pending rewards.</t>
  </si>
  <si>
    <t xml:space="preserve">92_1</t>
  </si>
  <si>
    <t xml:space="preserve">less</t>
  </si>
  <si>
    <t xml:space="preserve">In the less function, there is unchecked subtraction of `feiAmount` from `getTotalFeiBoostedForVault[vault]` and `totalFeiBoosted`. This may lead to an arithmetic underflow if `feiAmount` is greater than `getTotalFeiBoostedForVault[vault]` or `totalFeiBoosted`. This is a potential security vulnerability that can be exploited.</t>
  </si>
  <si>
    <t xml:space="preserve">boost</t>
  </si>
  <si>
    <t xml:space="preserve">In the boost function, `feiAmount` is passed to `feiTurboCToken.borrow` and `vault.deposit` without any validation. If the input is not as expected (e.g., extremely large values), it could potentially lead to unexpected contract behavior or reentrancy attacks.</t>
  </si>
  <si>
    <t xml:space="preserve">boost, less, gib</t>
  </si>
  <si>
    <t xml:space="preserve">Potential Reentrancy Attack</t>
  </si>
  <si>
    <t xml:space="preserve">Functions like `boost`, `less`, and `gib` are marked as `nonReentrant`, which is good. However, they also call external contracts (e.g., `vault.deposit` in `boost`), which is a potential reentrancy attack vector if the external contracts are malicious. Although `nonReentrant` should protect against this, it's better to minimize trust in external contracts.</t>
  </si>
  <si>
    <t xml:space="preserve">Incorrect Order of Operations</t>
  </si>
  <si>
    <t xml:space="preserve">In the boost function, `vault.deposit` is called after `feiTurboCToken.borrow`. If the borrowing fails, the tokens are still deposited into the vault which may not be the desired behavior. The order should be switched or checks should be implemented to ensure the borrowing was successful before proceeding.</t>
  </si>
  <si>
    <t xml:space="preserve">slurp</t>
  </si>
  <si>
    <t xml:space="preserve">In the slurp function, `safeInterestAmount` is calculated as `interestEarned - protocolFeeAmount`. However, it seems like the contract is not considering the potential cases where `protocolFeeAmount` could be larger than `interestEarned`. This could lead to an underflow error.</t>
  </si>
  <si>
    <t xml:space="preserve">92_3</t>
  </si>
  <si>
    <t xml:space="preserve">Reentrancy vulnerability.</t>
  </si>
  <si>
    <t xml:space="preserve">The `boost` function calls `vault.deposit` after the `feiAmount` has been borrowed but before it's marked as borrowed. This is a potential reentrancy attack vector because `vault.deposit` is an external call to an untrusted contract. The external contract could call back into the `boost` function before the original call is finished, potentially leading to incorrect state.</t>
  </si>
  <si>
    <t xml:space="preserve">Underflow potential</t>
  </si>
  <si>
    <t xml:space="preserve">The `less` function reduces `getTotalFeiBoostedForVault[vault]` and `totalFeiBoosted` without checking if `feiAmount` is greater than them. This could potentially lead to an underflow if `feiAmount` is larger than `getTotalFeiBoostedForVault[vault]` or `totalFeiBoosted`.</t>
  </si>
  <si>
    <t xml:space="preserve">Incorrect calculations</t>
  </si>
  <si>
    <t xml:space="preserve">The function `slurp` calculates the `interestEarned` by subtracting `getTotalFeiBoostedForVault[vault]` from `vault.assetsOf(address(this))`. This can lead to underflow if `getTotalFeiBoostedForVault[vault]` is greater than `vault.assetsOf(address(this))`. Furthermore, it's worth noting that you're trusting the `vault.assetsOf` function to return the correct value. If it doesn't, it could affect your contract's state.</t>
  </si>
  <si>
    <t xml:space="preserve">sweep</t>
  </si>
  <si>
    <t xml:space="preserve">Potential loss of funds</t>
  </si>
  <si>
    <t xml:space="preserve">The `sweep` function allows the owner to withdraw any ERC20 token from the contract. However, there is a check that disallows withdrawing tokens if `getTotalFeiBoostedForVault[ERC4626(address(token))]` is not zero or `token` is not `assetTurboCToken`. This might lead to loss of funds if the `getTotalFeiBoostedForVault` mapping contains a non-zero value for any token other than `fei` or `assetTurboCToken`.</t>
  </si>
  <si>
    <t xml:space="preserve">97_2</t>
  </si>
  <si>
    <t xml:space="preserve">getAmountToTransfer</t>
  </si>
  <si>
    <t xml:space="preserve">In the getAmountToTransfer function, the calculation for the transfer fee is performed before considering the gas fee. In reality, the gas fee should be calculated first since it might affect the balance and thus the transfer fee calculation.</t>
  </si>
  <si>
    <t xml:space="preserve">setTrustedForwarder</t>
  </si>
  <si>
    <t xml:space="preserve">Incorrect use of a variable</t>
  </si>
  <si>
    <t xml:space="preserve">There's an attempt to set _trustedForwarder, which is a function parameter, rather than setting a state variable. This is most likely a mistake.</t>
  </si>
  <si>
    <t xml:space="preserve">depositErc20, depositNative</t>
  </si>
  <si>
    <t xml:space="preserve">The functions depositErc20 and depositNative both have a risk of underflow when executing the instruction 'incentivePool[tokenAddress] = incentivePool[tokenAddress] - rewardAmount;'. If rewardAmount is greater than incentivePool[tokenAddress], it will cause an underflow, leading to incorrect behavior.</t>
  </si>
  <si>
    <t xml:space="preserve">The function is trying to set _trustedForwarder which is a function parameter, rather than setting a state variable. It should probably be setting a state variable with a similar name.</t>
  </si>
  <si>
    <t xml:space="preserve">97_3</t>
  </si>
  <si>
    <t xml:space="preserve">getRewardAmount</t>
  </si>
  <si>
    <t xml:space="preserve">The reward calculation can result in an incorrect amount due to the order of operations. In this function, the multiplication precedes the division operation, which could lead to an integer overflow if the multiplication operation results in a very large number. It might be safer to perform the division operation first to avoid any possible overflow.</t>
  </si>
  <si>
    <t xml:space="preserve">The function calculates the amount to transfer based on the gas used and some other factors. However, if the gas used is higher than expected, or if the tokenGasPrice is very high, it can result in a gasFee that is greater than the amount, leading to an underflow when calculating the amountToTransfer. There should be a check to ensure that the gasFee does not exceed the amount.</t>
  </si>
  <si>
    <t xml:space="preserve">The reward amount is subtracted from the incentivePool without checking whether the reward amount is less than or equal to the available incentivePool for the respective token. This can result in an underflow if the rewardAmount is greater than the incentivePool.</t>
  </si>
  <si>
    <t xml:space="preserve">getTransferFee</t>
  </si>
  <si>
    <t xml:space="preserve">The function calculates the fee based on the current and provided liquidity. However, if the currentLiquidity is greater than the amount, the resultingLiquidity can be negative, which can cause the denominator of the fee calculation to be negative or zero, leading to an unexpected result or division by zero error.</t>
  </si>
  <si>
    <t xml:space="preserve">102_2</t>
  </si>
  <si>
    <t xml:space="preserve">getMonthlyAPR</t>
  </si>
  <si>
    <t xml:space="preserve">If the `previousMonth` variable is zero, this will cause a division by zero error when calculating the `percentageChange`.</t>
  </si>
  <si>
    <t xml:space="preserve">requestCPIData</t>
  </si>
  <si>
    <t xml:space="preserve">Potential Security Vulnerability</t>
  </si>
  <si>
    <t xml:space="preserve">The function `requestCPIData` is callable by anyone after the 14th day of the month, which could potentially lead to unwanted behaviors or malicious exploitation.</t>
  </si>
  <si>
    <t xml:space="preserve">fulfill</t>
  </si>
  <si>
    <t xml:space="preserve">The function `fulfill` is external and doesn't verify the identity of the caller, which could potentially allow unauthorized actors to fulfill requests.</t>
  </si>
  <si>
    <t xml:space="preserve">110_3</t>
  </si>
  <si>
    <t xml:space="preserve">reportHarvest</t>
  </si>
  <si>
    <t xml:space="preserve">In function `reportHarvest`, `uint256 assetsAtHarvest = balance() - _harvestedAmount;` is calculated before the `_handleFees` function call. It might lead to the wrong calculation of `assetsAtHarvest` if `_handleFees` modifies the balance of the contract. It is recommended to move this line of code after `_handleFees(_harvestedAmount, harvestTime);`.</t>
  </si>
  <si>
    <t xml:space="preserve">In the initialize function, no checks are made for the `_feeConfig` array size. This may lead to unexpected behavior if the array size is less than 4. It could cause the contract to revert on initialization, or it could lead to incorrect fees being set.</t>
  </si>
  <si>
    <t xml:space="preserve">_depositFor, _depositWithAuthorization, etc.</t>
  </si>
  <si>
    <t xml:space="preserve">These functions are callable when the contract is not paused (`whenNotPaused` modifier is used). This might lead to deviating semantics as these functions should typically be callable only when the contract is active (i.e., not paused). It is recommended to use a more descriptive modifier, such as `whenActive`, to improve code clarity and prevent potential bugs.</t>
  </si>
  <si>
    <t xml:space="preserve">112_1</t>
  </si>
  <si>
    <t xml:space="preserve">initializeLpGauge</t>
  </si>
  <si>
    <t xml:space="preserve">Incorrect Error Handling</t>
  </si>
  <si>
    <t xml:space="preserve">The function 'initializeLpGauge' checks whether the '_LP_GAUGE' exists in the 'currentAddresses' mapping and throws an error if it does. But the error message is 'Error.ROLE_EXISTS' which is misleading as it's not a role but an address that exists. The error message should be appropriately named like 'Error.GAUGE_EXISTS'.</t>
  </si>
  <si>
    <t xml:space="preserve">Duplicate Import</t>
  </si>
  <si>
    <t xml:space="preserve">The contract has imported the "../libraries/Errors.sol" and "../interfaces/IController.sol" twice. This is not causing any issues with the code execution, but it's unnecessary and could be cleaned up for better readability.</t>
  </si>
  <si>
    <t xml:space="preserve">Missing Error Handling</t>
  </si>
  <si>
    <t xml:space="preserve">In the 'initialize' function, there is no check to prevent the '_token' address from being a zero address. It would be safer to include a require statement to ensure that '_token' is not the zero address.</t>
  </si>
  <si>
    <t xml:space="preserve">stakeFor</t>
  </si>
  <si>
    <t xml:space="preserve">In the 'stakeFor' function, the tokens are transferred before the balance of the recipient is updated. If there is a failure in the transfer (for example, if the contract does not have enough tokens), the recipient's balance will still be increased. This could lead to an incorrect state where the recipient has more tokens according to the contract than they actually do. The token transfer should be the last operation in the function.</t>
  </si>
  <si>
    <t xml:space="preserve">unstakeFor</t>
  </si>
  <si>
    <t xml:space="preserve">In the 'unstakeFor' function, the state (balances, allowances, strategiesTotalStaked, _poolTotalStaked) is updated after the call to 'IERC20(token).safeTransfer'. This can expose the contract to reentrancy attacks, where the 'safeTransfer' function calls back into this contract before the state is updated. It is safer to update the state before making external calls.</t>
  </si>
  <si>
    <t xml:space="preserve">Redundant Check</t>
  </si>
  <si>
    <t xml:space="preserve">In the 'unstakeFor' function, there is a redundant check for 'src == msg.sender' in the 'require' statement. The same condition is already covered by the 'allowance_' &gt;= 'amount' condition because if 'src' == 'msg.sender', 'allowance_' would be infinite (as set in the 'transferFrom' function) and thus always greater or equal to 'amount'.</t>
  </si>
  <si>
    <t xml:space="preserve">112_3</t>
  </si>
  <si>
    <t xml:space="preserve">increaseActionLockedBalance</t>
  </si>
  <si>
    <t xml:space="preserve">Logic Error</t>
  </si>
  <si>
    <t xml:space="preserve">In the increaseActionLockedBalance function, the balance of actionLockedBalances[account] is increased without checking if this operation causes an overflow.</t>
  </si>
  <si>
    <t xml:space="preserve">decreaseActionLockedBalance</t>
  </si>
  <si>
    <t xml:space="preserve">In the decreaseActionLockedBalance function, the balance of actionLockedBalances[account] is decreased without checking if this operation causes an underflow.</t>
  </si>
  <si>
    <t xml:space="preserve">Re-entrancy Bug</t>
  </si>
  <si>
    <t xml:space="preserve">In the unstakeFor function, the external calls to the safeTransfer function and handleLpTokenTransfer function may allow re-entrancy attacks because there are state changes after these calls.</t>
  </si>
  <si>
    <t xml:space="preserve">In the stakeFor function, the balance of the contract is checked after the token transfer. If the transfer fails or an incorrect amount is transferred, the require statement will throw an error. However, the error message 'INVALID_AMOUNT' is not descriptive of the actual issue.</t>
  </si>
  <si>
    <t xml:space="preserve">In the stakeFor function, the balance of the account is increased without checking for potential arithmetic overflow.</t>
  </si>
  <si>
    <t xml:space="preserve">In the unstakeFor function, the balance of the account is decreased without checking for potential arithmetic underflow.</t>
  </si>
  <si>
    <t xml:space="preserve">transfer</t>
  </si>
  <si>
    <t xml:space="preserve">In the transfer function, the balance of the account is increased without checking for potential arithmetic overflow.</t>
  </si>
  <si>
    <t xml:space="preserve">In the transfer function, the balance of the account is decreased without checking for potential arithmetic underflow.</t>
  </si>
  <si>
    <t xml:space="preserve">file</t>
  </si>
  <si>
    <t xml:space="preserve">L-13</t>
  </si>
  <si>
    <t xml:space="preserve">https://code4rena.com/reports/2021-04-marginswap/#l-13-not-emitting-event-for-important-state-changes</t>
  </si>
  <si>
    <t xml:space="preserve">true, irrelevant</t>
  </si>
  <si>
    <t xml:space="preserve">getUpdatedHourlyYield, calcCumulativeYieldFP</t>
  </si>
  <si>
    <t xml:space="preserve">true, but precision loss</t>
  </si>
  <si>
    <t xml:space="preserve">false, already after</t>
  </si>
  <si>
    <t xml:space="preserve">false, irrelevant. inited by init()</t>
  </si>
  <si>
    <t xml:space="preserve">true, no risk</t>
  </si>
  <si>
    <t xml:space="preserve">false, 0 by default</t>
  </si>
  <si>
    <t xml:space="preserve">false, already commented out</t>
  </si>
  <si>
    <t xml:space="preserve">false, irrelevant. returns by default</t>
  </si>
  <si>
    <t xml:space="preserve">true, low risk</t>
  </si>
  <si>
    <t xml:space="preserve">false, already take care</t>
  </si>
  <si>
    <t xml:space="preserve">false, already return before.</t>
  </si>
  <si>
    <t xml:space="preserve">false, as intend</t>
  </si>
  <si>
    <t xml:space="preserve">true, low risk. return value</t>
  </si>
  <si>
    <t xml:space="preserve">IYieldSource.sol</t>
  </si>
  <si>
    <t xml:space="preserve">false, msg.sender cannot be 0</t>
  </si>
  <si>
    <t xml:space="preserve">https://code4rena.com/reports/2021-06-pooltogether/#h-01-user-could-lose-underlying-tokens-when-redeeming-from-the-idleyieldsource</t>
  </si>
  <si>
    <t xml:space="preserve">true, low risk. input validation</t>
  </si>
  <si>
    <t xml:space="preserve">TracerPerpetualSwaps.sol</t>
  </si>
  <si>
    <t xml:space="preserve">true, but no need for internal function</t>
  </si>
  <si>
    <t xml:space="preserve">H-6</t>
  </si>
  <si>
    <t xml:space="preserve">https://code4rena.com/reports/2021-06-tracer/#h-06-wrong-price-scale-for-gasoracle</t>
  </si>
  <si>
    <t xml:space="preserve">false, no check function and no use</t>
  </si>
  <si>
    <t xml:space="preserve">true, low risk. address check</t>
  </si>
  <si>
    <t xml:space="preserve">false, checked by solidity already</t>
  </si>
  <si>
    <t xml:space="preserve">LibBalances.sol</t>
  </si>
  <si>
    <t xml:space="preserve">true, checked by solidity already</t>
  </si>
  <si>
    <t xml:space="preserve">false, no need, mathlib takes care</t>
  </si>
  <si>
    <t xml:space="preserve">true, but take care in other files</t>
  </si>
  <si>
    <t xml:space="preserve">true, no use</t>
  </si>
  <si>
    <t xml:space="preserve">true, but as intend</t>
  </si>
  <si>
    <t xml:space="preserve">L-08</t>
  </si>
  <si>
    <t xml:space="preserve">https://code4rena.com/reports/2021-06-tracer/#l-08-potential-division-by-zero</t>
  </si>
  <si>
    <t xml:space="preserve">false, not correct explan</t>
  </si>
  <si>
    <t xml:space="preserve">L-03</t>
  </si>
  <si>
    <t xml:space="preserve">https://code4rena.com/reports/2021-06-gro/#l-03-buoy3pool_updateratios-unsafe-math</t>
  </si>
  <si>
    <t xml:space="preserve">false, internal function relies on call</t>
  </si>
  <si>
    <t xml:space="preserve">true, as intend</t>
  </si>
  <si>
    <t xml:space="preserve">true, low risk. timestamp</t>
  </si>
  <si>
    <t xml:space="preserve">false, cannot be negative</t>
  </si>
  <si>
    <t xml:space="preserve">false, library reverts if underflow</t>
  </si>
  <si>
    <t xml:space="preserve">false, already before</t>
  </si>
  <si>
    <t xml:space="preserve">false, nonsense</t>
  </si>
  <si>
    <t xml:space="preserve">L-04</t>
  </si>
  <si>
    <t xml:space="preserve">https://code4rena.com/reports/2021-10-union/#h-02-wrong-implementation-of-creditlimitbymediansolgetlockedamount-makes-it-unable-to-unlock-lockedamount-in-creditlimitbymedian-model</t>
  </si>
  <si>
    <t xml:space="preserve">In the _findMedian function, the median is calculated as an average of two middle numbers when the array length is even. This could lead to incorrect results if those two numbers are large enough that their sum exceeds the maximum value of uint256 (2^256 - 1). A better way to avoid overflow would be to calculate the average by adding half of each number `(num1 / 2) + (num2 / 2)` and add 1 if num1 and num2 are both odd to account for the division truncation.</t>
  </si>
  <si>
    <t xml:space="preserve">false, atomic</t>
  </si>
  <si>
    <t xml:space="preserve">https://code4rena.com/reports/2021-10-badgerdao/#h-03-wrappedibbtceth-contract-will-use-stalled-price-for-mintburn-if-updatepricepershare-wasnt-run-properly</t>
  </si>
  <si>
    <t xml:space="preserve">OverlayV1UniswapV4Market.sol</t>
  </si>
  <si>
    <t xml:space="preserve">OverlayV1UniswapV5Market.sol</t>
  </si>
  <si>
    <t xml:space="preserve">In the function calculateLoss, you have two instances of an operation of the form `(A * B) / C`. Due to the nature of integer division in Solidity, this might not yield the expected results. Specifically, if `(A * B) &lt; C`, the result of the operation will be `0`. The correct order of operations to ensure the right precedence and to avoid the rounding down to 0 before the multiplication should be `(A * B) / C` should be changed to `A * (B / C)`, given that `B / C` would not result in a fraction.</t>
  </si>
  <si>
    <t xml:space="preserve">false, different params</t>
  </si>
  <si>
    <t xml:space="preserve">vaderToUsdv</t>
  </si>
  <si>
    <t xml:space="preserve">false, no need.</t>
  </si>
  <si>
    <t xml:space="preserve">consult</t>
  </si>
  <si>
    <t xml:space="preserve">false, no risk</t>
  </si>
  <si>
    <t xml:space="preserve">registerPair</t>
  </si>
  <si>
    <t xml:space="preserve">false, already take care. error understanding</t>
  </si>
  <si>
    <t xml:space="preserve">M-21</t>
  </si>
  <si>
    <t xml:space="preserve">https://code4rena.com/reports/2021-11-vader/#m-21-vaderpoolv2rescue-results-in-loss-of-funds-rather-than-recoverability</t>
  </si>
  <si>
    <t xml:space="preserve">false, already take care by solidity</t>
  </si>
  <si>
    <t xml:space="preserve">false, take care in other files</t>
  </si>
  <si>
    <t xml:space="preserve">LpIssuerGovernance.sol LpIssuer.sol</t>
  </si>
  <si>
    <t xml:space="preserve">false, checked already.</t>
  </si>
  <si>
    <t xml:space="preserve">M-03</t>
  </si>
  <si>
    <t xml:space="preserve">https://code4rena.com/reports/2021-12-mellow/#m-03-users-can-avoid-paying-vault-fees</t>
  </si>
  <si>
    <t xml:space="preserve">This function is not checking if the `amountOut` is greater than `minOut` before updating the `auctionExits`. In case the `amountOut` is less than `minOut`, the function will revert but not before updating the `auctionExits`. To correct this, the `require(amountOut &gt; minOut, "EarlyExit Insufficient output");` statement should be moved up before the `auctionExits` are updated.</t>
  </si>
  <si>
    <t xml:space="preserve">false, no need</t>
  </si>
  <si>
    <t xml:space="preserve">true, already take care in other files</t>
  </si>
  <si>
    <t xml:space="preserve">getAverageParticipation</t>
  </si>
  <si>
    <t xml:space="preserve">https://code4rena.com/reports/2021-12-perennial/#h-01-wrong-shortfall-calculation</t>
  </si>
  <si>
    <t xml:space="preserve">false, already take care by mathlib</t>
  </si>
  <si>
    <t xml:space="preserve">false, got other problems</t>
  </si>
  <si>
    <t xml:space="preserve">false, no difference</t>
  </si>
  <si>
    <t xml:space="preserve">false, no decimal. chatgpt err</t>
  </si>
  <si>
    <t xml:space="preserve">false, still loss</t>
  </si>
  <si>
    <t xml:space="preserve">false, already take care. chatgpt err</t>
  </si>
  <si>
    <t xml:space="preserve">false, get other problems</t>
  </si>
  <si>
    <t xml:space="preserve">getChainlinkPrice</t>
  </si>
  <si>
    <t xml:space="preserve">false, nonsense. chatgpt err</t>
  </si>
  <si>
    <t xml:space="preserve">Rounding Errors</t>
  </si>
  <si>
    <t xml:space="preserve">Incorrect calculation</t>
  </si>
  <si>
    <t xml:space="preserve">L-02</t>
  </si>
  <si>
    <t xml:space="preserve">https://github.com/code-423n4/2022-01-trader-joe-findings/issues/140</t>
  </si>
  <si>
    <t xml:space="preserve">false, already take care by solidity. chatgpt err</t>
  </si>
  <si>
    <t xml:space="preserve">false, it is a state variable. chatgpt err</t>
  </si>
  <si>
    <t xml:space="preserve">false, after to avoid reentrant. chatgpt err</t>
  </si>
  <si>
    <t xml:space="preserve">false, amount is from the users. chatgpt err</t>
  </si>
  <si>
    <t xml:space="preserve">test</t>
  </si>
  <si>
    <t xml:space="preserve">function</t>
  </si>
  <si>
    <t xml:space="preserve">addExcluded</t>
  </si>
  <si>
    <t xml:space="preserve">Inappropriate Access Control</t>
  </si>
  <si>
    <t xml:space="preserve">The 'addExcluded' function allows any user to call it and add an address to the excluded list. This function should have access control to restrict only certain users (such as the contract owner) to perform this action.</t>
  </si>
  <si>
    <t xml:space="preserve">The `init` function can be called by anyone, allowing an attacker to potentially change the VADER, USDV, ROUTER, and FACTORY addresses, gaining control over the contract. To mitigate this issue, you can limit the access to the `init` function to only the contract deployer or by using an access control mechanism like the Ownable pattern from OpenZeppelin.</t>
  </si>
  <si>
    <t xml:space="preserve">The `lockUnits` and `unlockUnits` functions can be called by any external actor, which could potentially allow an attacker to manipulate the locked units of tokens. This could be fixed by implementing an access control mechanism, such as checking if the caller is a trusted contract (e.g. LendingRouter) or if the caller has the required privileges.</t>
  </si>
  <si>
    <t xml:space="preserve">The 'init' function does not have any access control, which means that any address can call it and potentially re-initialize the contract state. This can cause unintended behavior or allow an attacker to change critical contract addresses. The 'init' function should only be callable once and by a specific authorized address.</t>
  </si>
  <si>
    <t xml:space="preserve">In the lockUnits and unlockUnits functions, there is no access control or validation on who is allowed to call these functions. As a result, any external address can call these functions and manipulate the 'mapTokenMember_Units' mapping, potentially causing loss of funds for users or allowing unauthorized access. Proper access control should be implemented to prevent unauthorized calls to these functions.</t>
  </si>
  <si>
    <t xml:space="preserve">The `addExcluded` function allows any user to call it and add an address to the exclusion list, which means that any user can add themselves or any other address to avoid paying fees. This could be abused to create an uneven system or allow bad actors to avoid paying fees. To fix this issue, you should restrict access to the `addExcluded` function, for example, by allowing only the contract owner to call it.</t>
  </si>
  <si>
    <t xml:space="preserve">The `init` function initializes the Pools contract with essential contract addresses. However, there is no access control implemented in this function, which means any address can call this function and potentially change the values of VADER, USDV, ROUTER, and FACTORY. This vulnerability allows an attacker to gain control over the contract's behavior.</t>
  </si>
  <si>
    <t xml:space="preserve">The `lockUnits` and `unlockUnits` functions lack access control mechanisms, allowing any external address to call these functions and potentially manipulate the number of units locked or unlocked for any member. These functions should have appropriate access control to ensure that only authorized addresses (e.g., the LendingRouter contract) can call them.</t>
  </si>
  <si>
    <t xml:space="preserve">The `addExcluded` function allows any user to exclude an address from paying fees. This can lead to privilege escalation as anyone can exclude themselves or others from paying fees. There should be a restriction on who can call this function, like only the contract owner or an authorized user.</t>
  </si>
  <si>
    <t xml:space="preserve">13_2</t>
  </si>
  <si>
    <t xml:space="preserve">setOrderbookAddress, setNftHubAddress, setTokenAddress, setBridgeAddress</t>
  </si>
  <si>
    <t xml:space="preserve">The functions setOrderbookAddress, setNftHubAddress, setTokenAddress, and setBridgeAddress have no access control restrictions, allowing any address to modify these critical addresses. This may lead to the manipulation of the contract's behaviour by an attacker. It is recommended to add an access control modifier like 'onlyOwner' to ensure that only the contract owner can call these functions.</t>
  </si>
  <si>
    <t xml:space="preserve">changeUberOwner</t>
  </si>
  <si>
    <t xml:space="preserve">The changeUberOwner function allows the current uberOwner to change the uberOwner to a new address. However, there is no access control to prevent the new owner from being a malicious contract or an attacker. To mitigate this risk, it is recommended to add validation checks to ensure that the new owner is a trusted address, or implement a more secure ownership transfer mechanism like using a multisig wallet or a timelock.</t>
  </si>
  <si>
    <t xml:space="preserve">addToWhitelist, batchAddToWhitelist</t>
  </si>
  <si>
    <t xml:space="preserve">The addToWhitelist and batchAddToWhitelist functions are called by the function isGovernor, which checks if the sender has the role of Governor. The role is not checked against the contract's own access control list, but instead relies on the factory contract's isGovernor function. This creates an ID-related violation as the factory contract can be manipulated by the factory owner, potentially allowing unauthorized addresses to be added to the whitelist. To mitigate this risk, it is recommended to implement access control for the addToWhitelist and batchAddToWhitelist functions within the contract itself.</t>
  </si>
  <si>
    <t xml:space="preserve">addToWhitelist</t>
  </si>
  <si>
    <t xml:space="preserve">The addToWhitelist function can be called by anyone who is a governor in the IRCFactory contract. This allows governors to add or remove any user from the whitelist, potentially manipulating the access control of the contract.</t>
  </si>
  <si>
    <t xml:space="preserve">setOrderbookAddress</t>
  </si>
  <si>
    <t xml:space="preserve">The setOrderbookAddress function can only be called by the "uberOwner", but it allows setting the orderbook address to any address. This can lead to potential security risks as the owner can set the address to a malicious contract.</t>
  </si>
  <si>
    <t xml:space="preserve">setNftHubAddress</t>
  </si>
  <si>
    <t xml:space="preserve">Similar to the setOrderbookAddress function, the setNftHubAddress function can only be called by the "uberOwner", but it allows setting the NFT hub address to any address. This can lead to potential security risks as the owner can set the address to a malicious contract.</t>
  </si>
  <si>
    <t xml:space="preserve">setTokenAddress</t>
  </si>
  <si>
    <t xml:space="preserve">The setTokenAddress function can only be called by the "uberOwner", but it allows setting the token address to any address. This can lead to potential security risks as the owner can set the address to a malicious contract.</t>
  </si>
  <si>
    <t xml:space="preserve">setBridgeAddress</t>
  </si>
  <si>
    <t xml:space="preserve">Similar to the previous functions, the setBridgeAddress function can only be called by the "uberOwner", but it allows setting the bridge address to any address. This can lead to potential security risks as the owner can set the address to a malicious contract.</t>
  </si>
  <si>
    <t xml:space="preserve">17_1</t>
  </si>
  <si>
    <t xml:space="preserve">emergency</t>
  </si>
  <si>
    <t xml:space="preserve">The function `emergency` can be called by any address in the whitelist, which could potentially cause issues if the whitelist is not properly managed or if a whitelisted address is compromised. It would be better to restrict this function to be called only by the contract owner or a specific role.</t>
  </si>
  <si>
    <t xml:space="preserve">setWithdrawHandler</t>
  </si>
  <si>
    <t xml:space="preserve">ID-related Access Control</t>
  </si>
  <si>
    <t xml:space="preserve">The function setWithdrawHandler allows the contract owner to set the 'withdrawHandler' and 'emergencyHandler' addresses. There are no checks to ensure that these addresses are valid or secure, which can lead to potential vulnerabilities if a malicious address is set.</t>
  </si>
  <si>
    <t xml:space="preserve">addReferral</t>
  </si>
  <si>
    <t xml:space="preserve">In the addReferral function, there is a check for the msg.sender to be the depositHandler, but no validation for the account and referral addresses. As a result, if a malicious actor is able to set the depositHandler address, they can manipulate the referral system.</t>
  </si>
  <si>
    <t xml:space="preserve">19_1</t>
  </si>
  <si>
    <t xml:space="preserve">The `fulfill` function allows arbitrary function calls to the `IFulfillHelper(txData.callTo).execute` and `IFulfillHelper(txData.callTo).addFunds`. This could lead to malicious external contract calls if the `callTo` address is set to an untrusted contract or if the contract is compromised. To mitigate this issue, you can either restrict the allowed `callTo` addresses to a list of trusted contracts or implement a more secure method for executing these calls.</t>
  </si>
  <si>
    <t xml:space="preserve">The `fulfill` function allows for transaction replay attacks due to the fact that the `transactionId` is not being checked for uniqueness. An attacker could potentially fulfill a transaction multiple times by replaying the same transaction, allowing them to steal assets from the smart contract. To mitigate this issue, you should ensure the `transactionId` is unique for each transaction and store a mapping to prevent transaction replay.</t>
  </si>
  <si>
    <t xml:space="preserve">cancel</t>
  </si>
  <si>
    <t xml:space="preserve">Similar to the `fulfill` function, the `cancel` function is also vulnerable to transaction replay attacks due to the lack of `transactionId` uniqueness checks. An attacker could potentially cancel a transaction multiple times by replaying the same transaction. To mitigate this issue, you should ensure the `transactionId` is unique for each transaction and store a mapping to prevent transaction replay.</t>
  </si>
  <si>
    <t xml:space="preserve">19_2</t>
  </si>
  <si>
    <t xml:space="preserve">In the 'fulfill' function, there is an unrestricted function call to 'IFulfillHelper(txData.callTo).execute(...)'. This call allows arbitrary contract execution, potentially leading to attacks if a malicious contract is provided as 'txData.callTo'.</t>
  </si>
  <si>
    <t xml:space="preserve">Another unrestricted function call exists in the 'fulfill' function with 'IFulfillHelper(txData.callTo).addFunds(...)'. Similar to the previous issue, this call allows arbitrary contract execution and might lead to potential attacks.</t>
  </si>
  <si>
    <t xml:space="preserve">The 'sync()' function is a public function that allows anyone to update the 'baseAmount' and 'tokenAmount' variables. This could lead to potential manipulation of these variables by attackers. It would be more secure to make this function internal or restrict it to certain roles (e.g., admin or owner).</t>
  </si>
  <si>
    <t xml:space="preserve">transferFrom(), burnFrom()</t>
  </si>
  <si>
    <t xml:space="preserve">The 'transferFrom()' and 'burnFrom()' functions do not check for potential underflows while subtracting the 'amount' from the 'currentAllowance'. This can lead to unexpected behavior when 'currentAllowance' is smaller than the 'amount'. To fix this issue, you can use the SafeMath library for subtraction, or make sure to check for underflows manually.</t>
  </si>
  <si>
    <t xml:space="preserve">_transfer()</t>
  </si>
  <si>
    <t xml:space="preserve">The '_transfer()' function does not check for potential underflows while subtracting the 'amount' from the 'senderBalance'. This can lead to unexpected behavior when 'senderBalance' is smaller than the 'amount'. To fix this issue, you can use the SafeMath library for subtraction or make sure to check for underflows manually.</t>
  </si>
  <si>
    <t xml:space="preserve">The mintSynth function allows onlyPool modifier to execute, which is a privilege escalation vulnerability. A malicious pool can call the mintSynth function to manipulate the supply of the token.</t>
  </si>
  <si>
    <t xml:space="preserve">transferAndCall</t>
  </si>
  <si>
    <t xml:space="preserve">The transferAndCall function allows a token holder to call any function in any contract with arbitrary data. This can lead to potential security issues, as it enables a token holder to interact with other contracts, possibly leading to unintended behavior.</t>
  </si>
  <si>
    <t xml:space="preserve">approveAndCall</t>
  </si>
  <si>
    <t xml:space="preserve">The approveAndCall function also allows a token holder to call any function in any contract with arbitrary data, leading to potential security issues as it enables a token holder to interact with other contracts, possibly leading to unintended behavior.</t>
  </si>
  <si>
    <t xml:space="preserve">The swapTo function is marked as public and can be called by anyone. This can be exploited by attackers to manipulate the state of the contract by calling the function with arbitrary input.</t>
  </si>
  <si>
    <t xml:space="preserve">The approveAndCall function is subject to ID-related violations since it approves an unlimited allowance of tokens to the recipient address. This can be exploited by the recipient to drain the user's tokens.</t>
  </si>
  <si>
    <t xml:space="preserve">The transferAndCall function is vulnerable to ID-related violations as it doesn't validate the recipient address or the input data. A malicious contract can be used to receive tokens and manipulate the contract state.</t>
  </si>
  <si>
    <t xml:space="preserve">The 'sync' function updates the 'baseAmount' and 'tokenAmount' without any access control. This allows any user to call this function and potentially manipulate the pool state. To resolve this issue, consider adding a modifier like 'onlyOwner' or 'onlyAuthorized' to limit who can call the 'sync' function.</t>
  </si>
  <si>
    <t xml:space="preserve">The 'transfer' and 'transferFrom' functions do not check for the recipient's address being the smart contract's address. A user can accidentally send tokens to the smart contract's address, which could lock the tokens forever. To resolve this issue, add a check in the 'transfer' and 'transferFrom' functions to prevent transferring tokens to the smart contract's address.</t>
  </si>
  <si>
    <t xml:space="preserve">enableToken</t>
  </si>
  <si>
    <t xml:space="preserve">The enableToken function allows the contract owner to set unlimited approvals for any token on behalf of the smart contract, which can lead to unauthorized access to the contract's funds.</t>
  </si>
  <si>
    <t xml:space="preserve">migrateBorrowFromCompound</t>
  </si>
  <si>
    <t xml:space="preserve">The function does not validate the length of the `notionalV2CollateralIds` and `notionalV2CollateralAmounts` arrays before using them in a loop. This can cause unexpected behavior if the lengths are mismatched.</t>
  </si>
  <si>
    <t xml:space="preserve">notionalCallback</t>
  </si>
  <si>
    <t xml:space="preserve">The notionalCallback function checks whether the sender is the contract itself, but does not restrict the caller to the NotionalProxy contract. This allows any contract that can spoof the sender to be the contract itself to call this function and potentially manipulate the repayment process.</t>
  </si>
  <si>
    <t xml:space="preserve">The notionalCallback function checks whether the sender is the contract itself but does not restrict the caller to the NotionalProxy contract. This allows any contract that can spoof the sender to be the contract itself to call this function and potentially manipulate the migration process.</t>
  </si>
  <si>
    <t xml:space="preserve">enableWBTC</t>
  </si>
  <si>
    <t xml:space="preserve">The enableWBTC function allows any user to call it and set unlimited approval for the WBTC token on behalf of the smart contract. This can lead to unauthorized access to the contract's WBTC funds if the contract ever holds any.</t>
  </si>
  <si>
    <t xml:space="preserve">The 'enableToken' function allows the contract owner to call the 'approve' function of the 'CTokenInterface(token)' to set an unlimited allowance for the 'spender'. This could allow the owner to set excessive allowances for arbitrary addresses, leading to potential misuse of funds.</t>
  </si>
  <si>
    <t xml:space="preserve">In the `enableToken` function, only the `owner` can call it. However, there is no functionality to update the owner or transfer ownership, which could lead to a privilege escalation issue if the owner's account is compromised.</t>
  </si>
  <si>
    <t xml:space="preserve">38_2</t>
  </si>
  <si>
    <t xml:space="preserve">send</t>
  </si>
  <si>
    <t xml:space="preserve">In the send() function, identity.executeBySender(txns) is called without checking the destination addresses and function selectors in the transactions. This could lead to an attacker crafting transactions that call unexpected functions or interact with unintended contracts.</t>
  </si>
  <si>
    <t xml:space="preserve">isValidSignature</t>
  </si>
  <si>
    <t xml:space="preserve">The isValidSignature() function calculates the accHash from the signature and checks whether it matches the privileges of the identity address. However, there is no check whether the provided id is a valid Identity contract address. This could lead to potential misuse of the function or unexpected behavior.</t>
  </si>
  <si>
    <t xml:space="preserve">registerAsset</t>
  </si>
  <si>
    <t xml:space="preserve">The 'registerAsset' function allows any user to call it and potentially register an asset if the liquidity requirement is met. This could lead to unwanted assets being registered in the contract. A solution would be to restrict this function to be called only by the governance or a specific role.</t>
  </si>
  <si>
    <t xml:space="preserve">liquidate</t>
  </si>
  <si>
    <t xml:space="preserve">The function 'liquidate' can be called by any user, as there is no access control in place to restrict the function call to only the liquidator. This opens the contract to potential malicious liquidations.</t>
  </si>
  <si>
    <t xml:space="preserve">mint, increase</t>
  </si>
  <si>
    <t xml:space="preserve">In the `mint` function, the _id is set using the return value of `engine.nft().mint(address(asset), _recipient);`. However, it's not verified if the _id returned is valid or unique. Similarly, in the `increase` function, when _id is equal to `type(uint256).max`, a new _id is minted. There is no validation to check if the _id is unique or valid, which could lead to ID-related violations.</t>
  </si>
  <si>
    <t xml:space="preserve">51_1</t>
  </si>
  <si>
    <t xml:space="preserve">vest</t>
  </si>
  <si>
    <t xml:space="preserve">The `vest` function can be called by anyone without restrictions, allowing anyone to lock tokens for any other address. This could lead to unexpected or undesired token locking behavior for users.</t>
  </si>
  <si>
    <t xml:space="preserve">In the `vest` function, `_isRevocable` is used as an input argument but its values are not explicitly checked before updating the `benRevocable` mapping. Although the contract checks if `_isRevocable` is 0 or 1, it does not stop someone from inputting other values, which could potentially cause unexpected behavior. A better approach would be to use a boolean input instead of an integer to avoid confusion and potential issues.</t>
  </si>
  <si>
    <t xml:space="preserve">51_2</t>
  </si>
  <si>
    <t xml:space="preserve">The `vest` function can be called by anyone, which means that a malicious user can vest tokens to any address they want without the owner's consent. To prevent this issue, consider restricting the access to the `vest` function only to the contract owner or a specific set of authorized addresses.</t>
  </si>
  <si>
    <t xml:space="preserve">The constructor sets the `multiSig` variable, but there is no function to change it later. If the `multiSig` address is compromised or needs to be changed for any reason, there is no way to do it. To solve this, consider adding a function to update the `multiSig` address, making sure that only the owner can call it.</t>
  </si>
  <si>
    <t xml:space="preserve">51_3</t>
  </si>
  <si>
    <t xml:space="preserve">Access Lock</t>
  </si>
  <si>
    <t xml:space="preserve">The `vest()` function allows anyone to call it and lock tokens for any beneficiary. This could potentially lead to a situation where an attacker locks tokens for an unsuspecting user, preventing them from accessing those tokens. To resolve this issue, consider implementing access control mechanisms to limit who can call the `vest()` function.</t>
  </si>
  <si>
    <t xml:space="preserve">The `burn` function is only callable by the Router, but there is no validation to ensure that the Router address is set correctly or not a malicious address. A malicious Router could exploit this function to burn tokens of other users, causing loss of funds.</t>
  </si>
  <si>
    <t xml:space="preserve">The `initialize` function can only be called by the contract owner, but there is no validation to ensure that the owner address is set correctly or not a malicious address. An attacker could set themselves as the owner and initialize the contract with their own Router, SynthFactory, or LPWrapper addresses, potentially causing loss of funds or other security issues.</t>
  </si>
  <si>
    <t xml:space="preserve">vestFor</t>
  </si>
  <si>
    <t xml:space="preserve">The `vestFor` function allows any external caller to add a new vesting schedule to the contract without any restrictions. This could potentially allow an attacker to add arbitrary vesting schedules without the approval of the contract owner or any other administrative entity.</t>
  </si>
  <si>
    <t xml:space="preserve">The 'initialize' function can be called multiple times by the contract owner, as it only checks if the 'wrapper' variable is not set. However, it does not check if the 'synthFactory' and 'router' variables are not already set, which might lead to unexpected results.</t>
  </si>
  <si>
    <t xml:space="preserve">The 'vestFor' function allows anyone to call it and set up a vesting schedule for any user. This might lead to potential abuse or manipulation of the vesting schedules.</t>
  </si>
  <si>
    <t xml:space="preserve">In the constructor, although the vesters and amounts are checked to be non-zero and the vesters' length is equal to amounts' length, there is no check to ensure that the vesters do not contain duplicate addresses. It is possible to set multiple vesting amounts for the same user, which might cause confusion or unexpected behavior.</t>
  </si>
  <si>
    <t xml:space="preserve">The 'vestFor' function is vulnerable to a privilege escalation issue, as it allows any user to add a new vesting schedule for any address without any restrictions. This can lead to unauthorized users manipulating the vesting schedule for other users, which can compromise the contract's intended functionality. To fix this issue, the 'vestFor' function should be restricted to be called only by the contract owner or a set of authorized addresses.</t>
  </si>
  <si>
    <t xml:space="preserve">transferOwnership</t>
  </si>
  <si>
    <t xml:space="preserve">The 'transferOwnership' function from the OpenZeppelin 'Ownable' contract is being called in the constructor without any restrictions, transferring the ownership of the contract to the Vader contract. This can lead to unintended consequences if the Vader contract is not designed to handle ownership of this contract. It is advisable to either restrict the transfer of ownership to a set of trusted addresses or have a more robust mechanism for transferring ownership.</t>
  </si>
  <si>
    <t xml:space="preserve">64_2</t>
  </si>
  <si>
    <t xml:space="preserve">_requireTicket</t>
  </si>
  <si>
    <t xml:space="preserve">The _requireTicket function makes a static call to the ITicket(_ticket).controller.selector function, and this call is not restricted to a specific set of contracts or a specific function, which can potentially lead to security vulnerabilities. It would be better to restrict this call only to known contracts or create a permission system for allowed contracts.</t>
  </si>
  <si>
    <t xml:space="preserve">_updateClaimedEpoch</t>
  </si>
  <si>
    <t xml:space="preserve">The _updateClaimedEpoch function updates the claimed epochs using bitwise operations on uint256. However, it is limited to a maximum of 255 epochs due to packing the epochs into a uint256. If the number of epochs exceeds 255, the function will not work correctly, leading to ID-related violations. To fix this issue, consider implementing a more scalable solution, such as using a mapping with epoch IDs as keys and booleans as values to store claimed epochs.</t>
  </si>
  <si>
    <t xml:space="preserve">64_3</t>
  </si>
  <si>
    <t xml:space="preserve">The _requireTicket function is designed to ensure the given address is actually a ticket by calling the controller() function of the ITicket interface. However, due to the usage of staticcall and abi.encodePacked, a malicious contract could return any value when controller() is called, thus bypassing this check. This can lead to potential security issues in the future.</t>
  </si>
  <si>
    <t xml:space="preserve">createMarket</t>
  </si>
  <si>
    <t xml:space="preserve">In the createMarket function, there is a possibility for privilege escalation. The function is marked as public, which means that any external user can call this function. Although there are checks to see if the user is authorized, there is still a chance for unauthorized users to create a market with specific conditions.</t>
  </si>
  <si>
    <t xml:space="preserve">_createClone</t>
  </si>
  <si>
    <t xml:space="preserve">The _createClone function uses inline assembly to create a new clone contract. Since inline assembly does not have the same safety checks as Solidity, it is possible to make unrestricted function calls, which can be a security risk. It is recommended to use a well-tested and audited library for creating clones or to implement proper safety checks within the inline assembly code.</t>
  </si>
  <si>
    <t xml:space="preserve">compensate</t>
  </si>
  <si>
    <t xml:space="preserve">The 'compensate' function does not have any access control mechanism such as 'onlyOwner' or a custom modifier to restrict calls. Any user can call this function, which may lead to unintended consequences.</t>
  </si>
  <si>
    <t xml:space="preserve">set</t>
  </si>
  <si>
    <t xml:space="preserve">In the 'set' function, the '_index' parameter is required to be less than or equal to the maximum index set by the 'parameters.getMaxList(address(this))' function. However, there is no validation to check if '_index' is within the valid range of the existing poolList. This may lead to an incorrect index being set and cause potential issues with pool allocations.</t>
  </si>
  <si>
    <t xml:space="preserve">The `initialize` function can be called by anyone, and there is no access control check in place to restrict its usage. This can lead to potential security issues, as anyone can call this function and potentially reinitialize the contract with arbitrary parameters.</t>
  </si>
  <si>
    <t xml:space="preserve">applyCover</t>
  </si>
  <si>
    <t xml:space="preserve">The `applyCover` function is only guarded by the `onlyOwner` modifier, which checks if the caller is the owner of the contract. However, the owner can be changed through the `Parameters` contract, and thus, it's possible for an attacker to change the owner and call this function unrestrictedly. This can lead to potential security issues, such as unauthorized insurance payouts or changing the market status.</t>
  </si>
  <si>
    <t xml:space="preserve">71_2</t>
  </si>
  <si>
    <t xml:space="preserve">The `_createClone` function is called in the `createMarket` function, which allows the creation of a new clone contract. However, the `_createClone` function uses inline assembly, which can lead to potential security vulnerabilities as it bypasses several safety checks provided by Solidity, such as type checking and function visibility. It is recommended to use a well-vetted, audited library for contract cloning, like OpenZeppelin's Clones library.</t>
  </si>
  <si>
    <t xml:space="preserve">The `createMarket` function checks for existing markets using the `_references[0]` as an ID. If `_references[0]` is not unique for each market, this can lead to ID-related violations. It is recommended to use a more robust mechanism for assigning unique IDs to each market, such as a counter or a hash of the market's data.</t>
  </si>
  <si>
    <t xml:space="preserve">In the compensate function, the contract calls the compensate function of the CDS contract without any checks. This could potentially allow an attacker to trigger unexpected behavior in the CDS contract.</t>
  </si>
  <si>
    <t xml:space="preserve">_beforeTokenTransfer</t>
  </si>
  <si>
    <t xml:space="preserve">In the _beforeTokenTransfer function, the contract updates the withdrawalReq mapping based on the "from" address without checking if the "from" address is a valid user address or not. This could lead to unintended updates of the withdrawalReq mapping.</t>
  </si>
  <si>
    <t xml:space="preserve">transferInsurance</t>
  </si>
  <si>
    <t xml:space="preserve">The transferInsurance function allows any user to transfer an insurance policy to another address without proper authorization. There are no checks to ensure that the caller is allowed to transfer the policy. This could lead to potential unauthorized transfers of insurance policies.</t>
  </si>
  <si>
    <t xml:space="preserve">The applyCover function is only protected by the onlyOwner modifier, which checks if the caller is the owner of the contract. However, it is possible for an attacker to gain ownership of the contract by exploiting the uninitialized state of the contract. The constructor sets the "initialized" state to true, but the initialize function requires the contract to be in an uninitialized state (false). An attacker could call the initialize function with their own address as a parameter and become the owner of the contract, allowing them to call applyCover and manipulate the contract's state.</t>
  </si>
  <si>
    <t xml:space="preserve">71_3</t>
  </si>
  <si>
    <t xml:space="preserve">The `createMarket` function allows any user to create a market if the template is open. However, the contract owner has the ability to change the template's openness through the `approveTemplate` function. This allows the contract owner to create a market and then restrict other users from doing so by toggling the openness of the template. This behavior may lead to unintended consequences where the owner can limit the ability of other users to create markets, giving the owner undue power over market creation.</t>
  </si>
  <si>
    <t xml:space="preserve">The 'initialize' function can be called by any external caller, which can cause issues as it should only be called once during contract deployment. To prevent this, a modifier such as 'onlyOwner' should be added to the function declaration to restrict access to a specific address or a condition that checks if the function has already been called.</t>
  </si>
  <si>
    <t xml:space="preserve">In the 'transferInsurance' function, there is no check for whether the insurance ID (_id) is valid or within the range of existing insurance IDs. This could lead to potential issues when an invalid ID is provided. To fix this, a check should be added to validate the insurance ID before processing the transfer.</t>
  </si>
  <si>
    <t xml:space="preserve">74_3</t>
  </si>
  <si>
    <t xml:space="preserve">receive()</t>
  </si>
  <si>
    <t xml:space="preserve">The receive() function is used to receive Ether directly in the contract. This function is missing any access control mechanism which makes it vulnerable to unauthorized Ether deposits. It would be a good practice to restrict this function to only allow specific callers or only allow deposits during certain contract interactions.</t>
  </si>
  <si>
    <t xml:space="preserve">timeswapMintCallback, timeswapLendCallback, timeswapBorrowCallback</t>
  </si>
  <si>
    <t xml:space="preserve">The timeswapMintCallback, timeswapLendCallback, and timeswapBorrowCallback functions are callback functions that can be called by the Timeswap pair contracts. The access control is done by checking that the caller is the expected Timeswap pair contract. However, this check can be bypassed if an attacker creates a malicious contract with the same interface as the expected Timeswap pair contract. This can lead to unauthorized function calls and manipulation of the contract state. To mitigate this risk, you can consider implementing a whitelist of trusted Timeswap pair contracts or using a more secure access control mechanism.</t>
  </si>
  <si>
    <t xml:space="preserve">setEnforcement</t>
  </si>
  <si>
    <t xml:space="preserve">The function `setEnforcement` allows any address to change the `enforceLimitsActive` mapping value for their address without any access control. This function should be restricted to only authorized addresses to avoid unauthorized users being able to bypass the variable movement limits enforced by the `enforceTolerance` and `enforceToleranceInt` functions.</t>
  </si>
  <si>
    <t xml:space="preserve">burnFlashGovernanceAsset</t>
  </si>
  <si>
    <t xml:space="preserve">The `burnFlashGovernanceAsset` function can be called by any successful proposal, which means that any proposal that passes can potentially burn the flash governance assets of another user without any checks. There should be additional checks to ensure that the proposal calling this function is specifically related to the flash governance decision in question.</t>
  </si>
  <si>
    <t xml:space="preserve">assertGovernanceApproved</t>
  </si>
  <si>
    <t xml:space="preserve">The 'assertGovernanceApproved' function is a public function, meaning it can be called by anyone. However, it should only be called by authorized users. In its current form, it's vulnerable to attackers who can call this function with malicious intent.</t>
  </si>
  <si>
    <t xml:space="preserve">The 'setEnforcement' function is also a public function that can be called by anyone. The function allows users to set whether variable movement limits are enforced or not. This can lead to privilege escalation as unauthorized users can call this function and manipulate the enforcement settings.</t>
  </si>
  <si>
    <t xml:space="preserve">enforceToleranceInt, enforceTolerance</t>
  </si>
  <si>
    <t xml:space="preserve">The 'enforceToleranceInt' and 'enforceTolerance' functions are public and can be called by anyone, which makes them vulnerable to ID-related violations. Attackers can call these functions to bypass the change tolerance enforcement in the contract. Making these functions internal or restricting access to only authorized users could mitigate this issue.</t>
  </si>
  <si>
    <t xml:space="preserve">81_3</t>
  </si>
  <si>
    <t xml:space="preserve">claimCOMPAndTransfer</t>
  </si>
  <si>
    <t xml:space="preserve">The function claimCOMPAndTransfer has an external function call to `COMPTROLLER.claimComp(address(this), cTokens);` that may be vulnerable to reentrancy attacks. Although the function has a nonReentrant modifier, it is still a good practice to use the Checks-Effects-Interactions pattern by moving the external call to the end of the function.</t>
  </si>
  <si>
    <t xml:space="preserve">transferReserveToTreasury</t>
  </si>
  <si>
    <t xml:space="preserve">In the function transferReserveToTreasury, the for loop iterates through the array of currency IDs, but does not have any input validation to check if the array has duplicates or not. A check could be added to ensure the currency IDs are unique and sorted in an increasing order.</t>
  </si>
  <si>
    <t xml:space="preserve">addRewards</t>
  </si>
  <si>
    <t xml:space="preserve">The `addRewards` function is not restricted to only be called by the owner of the contract or any specific role. Anyone can call this function and potentially manipulate reward pools.</t>
  </si>
  <si>
    <t xml:space="preserve">setReserveCashBalance</t>
  </si>
  <si>
    <t xml:space="preserve">The 'setReserveCashBalance' function allows the owner of the contract to set a new reserve cash balance for a given currency without proper validation. The owner can potentially set the reserve balance to a value that is higher than the actual balance, leading to potential manipulation of the system.</t>
  </si>
  <si>
    <t xml:space="preserve">94_3</t>
  </si>
  <si>
    <t xml:space="preserve">_transferFromEscrow, _transferFromEscrowIfAvailable, _transferToEscrow</t>
  </si>
  <si>
    <t xml:space="preserve">The smart contract uses ID-related mappings (nftContractToTokenIdToAuctionId and auctionIdToAuction) to store auction information, and the mentioned functions interact with those mappings. There is a potential risk of ID-related violations if an incorrect mapping is accessed or if the mapping is not properly updated. However, the provided code seems to handle these situations correctly by validating the auction seller and bidder, and updating the mappings accordingly.</t>
  </si>
  <si>
    <t xml:space="preserve">103_2</t>
  </si>
  <si>
    <t xml:space="preserve">initCbridge</t>
  </si>
  <si>
    <t xml:space="preserve">The `initCbridge` function can only be called by the contract owner due to the `LibDiamond.enforceIsContractOwner()` function call. This is not necessarily a bug, but it does provide the contract owner with privileged access to set the cBridge address and the cBridge chain ID. If the contract owner is compromised, an attacker could potentially change these values to manipulate the functionality of the contract.</t>
  </si>
  <si>
    <t xml:space="preserve">103_1</t>
  </si>
  <si>
    <t xml:space="preserve">startBridgeTokensViaCBridge, swapAndStartBridgeTokensViaCBridge</t>
  </si>
  <si>
    <t xml:space="preserve">The internal function `_startBridge` has unrestricted function calls to the ICBridge contract methods `sendNative` and `send`. It does not validate the status of these operations or the `ICBridge` address, potentially allowing for reentrancy attacks or failed transactions.</t>
  </si>
  <si>
    <t xml:space="preserve">swapAndStartBridgeTokensViaCBridge</t>
  </si>
  <si>
    <t xml:space="preserve">Both the `startBridgeTokensViaCBridge` and `swapAndStartBridgeTokensViaCBridge` functions require the caller to input the `_cBridgeData` (including the `token` address) and do not check whether the token is allowed or if it exists in a specific list. An attacker might potentially pass a malicious token contract. It's always safer to use a mapping or an array to manage the token list.</t>
  </si>
  <si>
    <t xml:space="preserve">swapTokensGeneric</t>
  </si>
  <si>
    <t xml:space="preserve">The function `swapTokensGeneric` makes an unrestricted function call to the `_executeSwaps` function, which is part of the `Swapper` contract, not provided here. The `_executeSwaps` function could potentially have unrestricted function calls which could lead to security vulnerabilities like reentrancy attacks.</t>
  </si>
  <si>
    <t xml:space="preserve">initNXTP</t>
  </si>
  <si>
    <t xml:space="preserve">The `initNXTP` function allows the contract owner to set the `_txMgrAddr` which is used as the transaction manager. It checks if the caller is the contract owner using `LibDiamond.enforceIsContractOwner()`. However, this function is missing a `onlyOwner` modifier or equivalent access control, potentially allowing unauthorized users to change the transaction manager address. The method of verifying contract ownership isn't directly visible in this contract and should be validated.</t>
  </si>
  <si>
    <t xml:space="preserve">107_1</t>
  </si>
  <si>
    <t xml:space="preserve">lockFor</t>
  </si>
  <si>
    <t xml:space="preserve">The `lockFor` function can overwrite an existing lock position without checking if there is already an active lock for the same `_nftIndex`. This can cause a user to lose their locked tokens if another user locks tokens for the same `_nftIndex`. To fix this, add a require statement to check if a lock position with the given `_nftIndex` already exists.</t>
  </si>
  <si>
    <t xml:space="preserve">107_2</t>
  </si>
  <si>
    <t xml:space="preserve">The 'lockFor' function is only callable by the contract owner, which may lead to centralized control over locking tokens. To ensure a more decentralized control, it would be better to remove the 'onlyOwner' modifier and allow the token holders to lock their own tokens.</t>
  </si>
  <si>
    <t xml:space="preserve">There is no validation of the `_nftIndex` input in the 'lockFor' function, which can lead to potential ID-related violations. If a user accidentally or intentionally uses an `_nftIndex` that already exists in the 'positions' mapping, the existing LockPosition would be overwritten. To mitigate this, it would be better to check if the LockPosition for the given `_nftIndex` already exists and revert the transaction if it does.</t>
  </si>
  <si>
    <t xml:space="preserve">107_3</t>
  </si>
  <si>
    <t xml:space="preserve">setLockTime</t>
  </si>
  <si>
    <t xml:space="preserve">The setLockTime function allows the contract owner to change the lock duration for newly locked tokens. An attacker who gains control of the owner account could set the lock time to an extremely short duration, effectively disabling the intended purpose of the contract.</t>
  </si>
  <si>
    <t xml:space="preserve">The lockFor function accepts an arbitrary NFT index (_nftIndex) and creates a new LockPosition in the positions mapping without checking if a LockPosition already exists for the given _nftIndex. This could result in overwriting an existing LockPosition and potentially cause a loss of funds or unauthorized unlocks.</t>
  </si>
  <si>
    <t xml:space="preserve">123_1</t>
  </si>
  <si>
    <t xml:space="preserve">_addReward</t>
  </si>
  <si>
    <t xml:space="preserve">The _addReward function is marked as internal but is not secured with any access control mechanisms. It can be called by any external function, such as addReward and addRewardToEpoch, without proper checks in place. This could lead to potential abuse of the reward system by calling the _addReward function from another contract or indirectly through one of the exposed functions.</t>
  </si>
  <si>
    <t xml:space="preserve">_allClaimableRewards</t>
  </si>
  <si>
    <t xml:space="preserve">The _allClaimableRewards function calculates claimable rewards for a given user and token, starting from the provided _startIndex. However, the _startIndex is not properly validated or checked against any bounds, which could lead to incorrect reward calculations or possible index out-of-bounds issues if the provided _startIndex is greater than the actual number of epochs in the rewardEpochs mapping.</t>
  </si>
  <si>
    <t xml:space="preserve">forfeitRewards</t>
  </si>
  <si>
    <t xml:space="preserve">The forfeitRewards function allows a user to set their claimed index forward without claiming rewards. This function does not verify if the given _index is less than the userClaims[_token][msg.sender] value, allowing a user to potentially revert their claimed index to a previous value, which could lead to double-claiming rewards.</t>
  </si>
  <si>
    <t xml:space="preserve">123_3</t>
  </si>
  <si>
    <t xml:space="preserve">addReward, addRewardToEpoch</t>
  </si>
  <si>
    <t xml:space="preserve">In the addReward and addRewardToEpoch functions, there is no access control limiting who can call these functions. This means that anyone can add rewards to any epoch, potentially leading to unintended behavior.</t>
  </si>
  <si>
    <t xml:space="preserve">143_1</t>
  </si>
  <si>
    <t xml:space="preserve">changeFor</t>
  </si>
  <si>
    <t xml:space="preserve">The changeFor function allows the controller to change the token associated with a project, which might potentially allow an attacker to manipulate the token distribution for a project.</t>
  </si>
  <si>
    <t xml:space="preserve">issueFor</t>
  </si>
  <si>
    <t xml:space="preserve">The issueFor function does not perform any checks on the project ID before creating a new token, which might result in duplicated or invalid project IDs.</t>
  </si>
  <si>
    <t xml:space="preserve">mintFor</t>
  </si>
  <si>
    <t xml:space="preserve">The mintFor function allows the controller to mint tokens for any given project ID without checking if the project ID is valid or if the associated token exists.</t>
  </si>
  <si>
    <t xml:space="preserve">143_2</t>
  </si>
  <si>
    <t xml:space="preserve">The constructor function takes `_operatorStore`, `_projects`, and `_directory` as arguments but does not perform any validation checks on these addresses. This can potentially lead to issues if an attacker provides malicious contract addresses during deployment.</t>
  </si>
  <si>
    <t xml:space="preserve">The function issueFor() creates a new JBToken instance but doesn't restrict the newly created token's ownership. This can lead to a scenario where the token's ownership can be escalated by another user after its creation.</t>
  </si>
  <si>
    <t xml:space="preserve">The changeFor() function allows the change of tokens for a given project without properly validating the new token's `_projectId`. The function only checks if the projectOf[_token] is not zero but does not ensure that the new token's `_projectId` is the same as the current `_projectId`. This can lead to potential ID-related violations.</t>
  </si>
  <si>
    <t xml:space="preserve">The mintFor() function allows minting tokens for a specific project without properly validating the `_projectId` associated with the token. The function only checks if the project has a token associated with it, but it does not ensure that the token's `_projectId` is the same as the current `_projectId`. This can lead to potential ID-related violations.</t>
  </si>
  <si>
    <t xml:space="preserve">143_3</t>
  </si>
  <si>
    <t xml:space="preserve">claimFor</t>
  </si>
  <si>
    <t xml:space="preserve">The claimFor function is vulnerable to a privilege escalation attack because it allows a user with the "CLAIM" permission to claim tokens on behalf of another user (_holder). This could potentially be exploited by a malicious user who has acquired the "CLAIM" permission to claim tokens for other users, leading to unauthorized access or control over the tokens.</t>
  </si>
  <si>
    <t xml:space="preserve">192_1</t>
  </si>
  <si>
    <t xml:space="preserve">createLock, extendLock, release, claim, claimDebt</t>
  </si>
  <si>
    <t xml:space="preserve">These functions are using the `onlyManager` modifier which restricts them to be called only by the manager. However, there is no proper validation on the manager's address. It is possible to set the manager to any arbitrary address using the `setManager` function, which is only protected by the `onlyOwner` modifier. This means that the contract owner can set any arbitrary address as the manager and potentially exploit the system.</t>
  </si>
  <si>
    <t xml:space="preserve">192_2</t>
  </si>
  <si>
    <t xml:space="preserve">distribute</t>
  </si>
  <si>
    <t xml:space="preserve">The `distribute` function is not restricted by any access control mechanism such as `onlyOwner` or `onlyManager`. This means that any user can call this function and potentially manipulate the distribution of rewards.</t>
  </si>
  <si>
    <t xml:space="preserve">_transfer</t>
  </si>
  <si>
    <t xml:space="preserve">In the `_transfer` function, the code checks if `epoch[bond.asset] == block.timestamp/DAY`, which is an improper way of validating the asset's epoch. An attacker could potentially manipulate the block.timestamp to exploit this vulnerability.</t>
  </si>
  <si>
    <t xml:space="preserve">192_3</t>
  </si>
  <si>
    <t xml:space="preserve">The 'distribute' function can be called by any address, not just the manager or the owner of the contract. This may lead to unintended consequences as anyone can distribute rewards, potentially affecting the rewards calculation for bond holders.</t>
  </si>
  <si>
    <t xml:space="preserve">In the '_transfer' function, the 'require' statement checks if the bond is expired by requiring "!bond.expired," but the 'require' statement should ensure that the bond is NOT expired to prevent transferring expired bonds. The correct condition should be "require(bond.expired, "Expired!");" instead of "require(!bond.expired, "Expired!");"</t>
  </si>
  <si>
    <t xml:space="preserve">note</t>
  </si>
  <si>
    <t xml:space="preserve">H-21</t>
  </si>
  <si>
    <t xml:space="preserve">https://code4rena.com/reports/2021-04-vader/#h-21-anyone-can-avoid-all-vether-transfer-fees-by-adding-their-address-to-the-vether-excludedaddresses-list</t>
  </si>
  <si>
    <t xml:space="preserve">M-13</t>
  </si>
  <si>
    <t xml:space="preserve">https://code4rena.com/reports/2021-04-vader/#m-13-init-function-can-be-called-by-everyone</t>
  </si>
  <si>
    <t xml:space="preserve">H-14</t>
  </si>
  <si>
    <t xml:space="preserve">https://code4rena.com/reports/2021-04-vader/#h-14-missing-access-restriction-on-lockunitsunlockunits</t>
  </si>
  <si>
    <t xml:space="preserve">false, already constrained.</t>
  </si>
  <si>
    <t xml:space="preserve">true, low risk and as intend</t>
  </si>
  <si>
    <t xml:space="preserve">L-01</t>
  </si>
  <si>
    <t xml:space="preserve">https://code4rena.com/reports/2021-06-gro/#l-01-emergencyhandler-not-checked--not-emitted</t>
  </si>
  <si>
    <t xml:space="preserve">false, already constrained by other params.</t>
  </si>
  <si>
    <t xml:space="preserve">Pool.sol</t>
  </si>
  <si>
    <t xml:space="preserve">L-34</t>
  </si>
  <si>
    <t xml:space="preserve">https://code4rena.com/reports/2021-07-spartan/#l-34-attacker-can-trigger-pool-sync-leading-to-user-fund-loss</t>
  </si>
  <si>
    <t xml:space="preserve">false, underflow prob. chatgpt err with check and seq</t>
  </si>
  <si>
    <t xml:space="preserve">false, underflow prob. chatgpt err</t>
  </si>
  <si>
    <t xml:space="preserve">true, as intend. chatgpt err with seq</t>
  </si>
  <si>
    <t xml:space="preserve">https://code4rena.com/reports/2021-08-notional/#l-03-lack-of-input-validation-of-arrays</t>
  </si>
  <si>
    <t xml:space="preserve">H-04, H-05</t>
  </si>
  <si>
    <t xml:space="preserve">https://code4rena.com/reports/2021-08-notional/#h-04-access-restrictions-on-compoundtonotionalv2notionalcallback-can-be-bypassed</t>
  </si>
  <si>
    <t xml:space="preserve">https://code4rena.com/reports/2021-10-ambire/#h-03-signature-replay-attacks-for-different-identities-nonce-on-wrong-party</t>
  </si>
  <si>
    <t xml:space="preserve">true, low risk.</t>
  </si>
  <si>
    <t xml:space="preserve">false, already constrained. chatgpt err</t>
  </si>
  <si>
    <t xml:space="preserve">true, low risk and leads to H-08</t>
  </si>
  <si>
    <t xml:space="preserve">https://code4rena.com/reports/2021-11-bootfinance/#h-08-unable-to-claim-vesting-due-to-unbounded-timelock-loop</t>
  </si>
  <si>
    <t xml:space="preserve">true, no risk.</t>
  </si>
  <si>
    <t xml:space="preserve">H-08</t>
  </si>
  <si>
    <t xml:space="preserve">H-27</t>
  </si>
  <si>
    <t xml:space="preserve">https://code4rena.com/reports/2021-11-vader/#h-27-unrestricted-vestfor</t>
  </si>
  <si>
    <t xml:space="preserve">false, error explanation. chatgpt err</t>
  </si>
  <si>
    <t xml:space="preserve">true, low risk and leas to H-03</t>
  </si>
  <si>
    <t xml:space="preserve">https://code4rena.com/reports/2022-01-insure/#h-03-malicious-market-creators-can-steal-tokens-from-unsuspecting-approved-reference-accounts</t>
  </si>
  <si>
    <t xml:space="preserve">Factory.sol</t>
  </si>
  <si>
    <t xml:space="preserve">true, low risk and leads to H-04</t>
  </si>
  <si>
    <t xml:space="preserve">https://code4rena.com/reports/2022-01-insure/#h-04-initial-pool-deposit-can-be-stolen</t>
  </si>
  <si>
    <t xml:space="preserve">https://code4rena.com/reports/2022-01-insure/#m-02-owner-can-call-applycover-multiple-times-in-pooltemplatesol</t>
  </si>
  <si>
    <t xml:space="preserve">true, but constrained in other files.</t>
  </si>
  <si>
    <t xml:space="preserve">https://code4rena.com/reports/2022-01-behodler/#h-01-lack-of-access-control-on-assertgovernanceapproved-can-cause-funds-to-be-locked</t>
  </si>
  <si>
    <t xml:space="preserve">false, view function cannot change state. gpt err</t>
  </si>
  <si>
    <t xml:space="preserve">false, array must be sorted.</t>
  </si>
  <si>
    <t xml:space="preserve">https://code4rena.com/reports/2022-03-lifinance/#h-01-reliance-on-lifidatareceivingassetid-can-cause-loss-of-funds</t>
  </si>
  <si>
    <t xml:space="preserve">In the `swapTokensGeneric` function, the `_executeSwaps` function is called which allows the execution of arbitrary functions through its parameters. This can potentially be exploited if a malicious user sends a crafted `_swapData` array that calls functions with unintended effects.</t>
  </si>
  <si>
    <t xml:space="preserve">CBridgeFacet.sol</t>
  </si>
  <si>
    <t xml:space="preserve">NXTPFacet.sol</t>
  </si>
  <si>
    <t xml:space="preserve">https://code4rena.com/reports/2022-05-aura/#h-01-user-can-forfeit-other-user-rewards</t>
  </si>
  <si>
    <t xml:space="preserve">id</t>
  </si>
  <si>
    <t xml:space="preserve">Column6</t>
  </si>
  <si>
    <t xml:space="preserve">Column7</t>
  </si>
  <si>
    <t xml:space="preserve">deleteAccount</t>
  </si>
  <si>
    <t xml:space="preserve">Missing access control</t>
  </si>
  <si>
    <t xml:space="preserve">The `deleteAccount` function can potentially be misused to reset an account's borrow and holding balances to zero. There is no access control mechanism like `modifier` or `require` statement ensuring that only authorized roles (e.g. margin trader) can call this function. Although the function is marked as `internal`, it can still be called by any function within the same contract or a derived contract. To fix this issue, you can add an access control check that only allows certain roles to call the function.</t>
  </si>
  <si>
    <t xml:space="preserve">getLastDepositBlock</t>
  </si>
  <si>
    <t xml:space="preserve">Unnecessary external exposure</t>
  </si>
  <si>
    <t xml:space="preserve">The `getLastDepositBlock` function is marked as `external`, which means it can be called from outside the contract. However, this function merely returns the value of `lastDepositBlock` for a given trader, and there is no need for an external caller to access this value. It can be marked as `internal` or `private` to prevent unnecessary exposure of this function.</t>
  </si>
  <si>
    <t xml:space="preserve">_registerBorrow</t>
  </si>
  <si>
    <t xml:space="preserve">Global exposure cap check</t>
  </si>
  <si>
    <t xml:space="preserve">The function _registerBorrow does not properly update the states for totalShort and totalLong, leading to incorrect state updates in the smart contract. The totalLong should not be updated in this function, as it represents the total deposits of the token in the platform. Updating totalLong here could lead to a situation where the global exposure cap is exceeded without being detected.</t>
  </si>
  <si>
    <t xml:space="preserve">Incorrect state update</t>
  </si>
  <si>
    <t xml:space="preserve">In the function _registerBorrow, when updating the totalShort and totalLong, the global state is updated before checking the token cap. This can lead to an incorrect state update. The require statement should be executed before updating the totalShort and totalLong to prevent incorrect state updates. The corrected function should look like this</t>
  </si>
  <si>
    <t xml:space="preserve">In the function registerTradeAndBorrow, the totalLong[tokenFrom] and totalLong[tokenTo] states are updated before checking the token cap for tokenTo. This can lead to an incorrect state update. The require statement should be executed before updating the totalLong states to prevent incorrect state updates. The corrected function should look like this</t>
  </si>
  <si>
    <t xml:space="preserve">borrow</t>
  </si>
  <si>
    <t xml:space="preserve">The `borrow` function is an internal function, which means it can be called by any function within the same contract, or inherited contracts. Although the goal stated at the beginning is to make all external functions only accessible to margintrader role, there is no access control check for the `borrow` function. This could lead to incorrect state updates if any external function (in this or inherited contract) that calls this function does not have proper access control.</t>
  </si>
  <si>
    <t xml:space="preserve">extinguishDebt</t>
  </si>
  <si>
    <t xml:space="preserve">Similar to the `borrow` function, the `extinguishDebt` function is an internal function without any access control check. This could also lead to incorrect state updates if any external function (in this or inherited contract) that calls this function does not have proper access control.</t>
  </si>
  <si>
    <t xml:space="preserve">registerWithdrawal</t>
  </si>
  <si>
    <t xml:space="preserve">In the `registerWithdrawal` function, the state is not properly updated before the tokens are transferred, making it vulnerable to reentrancy attacks. An attacker could call the function repeatedly in the same transaction and withdraw more tokens than they should. To fix this issue, make sure to update the state before transferring the tokens.</t>
  </si>
  <si>
    <t xml:space="preserve">The `_registerBorrow` function should validate that the borrowAmount is greater than zero. This would prevent unnecessary state updates and protect against potential issues. Add a require statement to check if the borrowAmount is greater than zero before proceeding with the rest of the function.</t>
  </si>
  <si>
    <t xml:space="preserve">_registerWithdrawal</t>
  </si>
  <si>
    <t xml:space="preserve">The `_registerWithdrawal` function should validate that the withdrawAmount is greater than zero. This would prevent unnecessary state updates and protect against potential issues. Add a require statement to check if the withdrawAmount is greater than zero before proceeding with the rest of the function.</t>
  </si>
  <si>
    <t xml:space="preserve">In the `registerTradeAndBorrow` function, when there is no debt to extinguish, the totalLong state for the tokenTo is updated incorrectly. It should be updated as `totalLong[tokenTo] += outAmount;` instead of `totalLong[tokenTo] += outAmount - extinguishableDebt;`.</t>
  </si>
  <si>
    <t xml:space="preserve">10_2</t>
  </si>
  <si>
    <t xml:space="preserve">The `transferERC20` function is vulnerable to reentrancy attacks. An attacker can exploit this vulnerability by creating a malicious contract that calls `transferERC20` function and initiates a reentrancy attack during the execution of the `TransferHelper.safeTransfer` function. This can potentially lead to loss of funds or incorrect state updates.</t>
  </si>
  <si>
    <t xml:space="preserve">delegatedTransferERC20</t>
  </si>
  <si>
    <t xml:space="preserve">The `delegatedTransferERC20` function is vulnerable to reentrancy attacks as well. Similar to the `transferERC20` function, an attacker can exploit this vulnerability by creating a malicious contract that calls the `delegatedTransferERC20` function and initiates a reentrancy attack during the execution of the `TransferHelper.safeTransfer` function. This can potentially lead to loss of funds or incorrect state updates.</t>
  </si>
  <si>
    <t xml:space="preserve">10_3</t>
  </si>
  <si>
    <t xml:space="preserve">The 'transferERC20' function is vulnerable to reentrancy attacks. It allows an attacker to call back into the contract before the state has been updated. This can lead to unintended behavior and potential loss of funds. The issue arises because the 'TransferHelper.safeTransfer()' function is called before updating the balance of the token.</t>
  </si>
  <si>
    <t xml:space="preserve">rageQuit</t>
  </si>
  <si>
    <t xml:space="preserve">The 'rageQuit()' function does not check the return value of the 'IRageQuit(delegate).rageQuit()' function call. If the called function fails silently or returns an incorrect value, the state of the contract might be inconsistent, leading to unexpected behavior.</t>
  </si>
  <si>
    <t xml:space="preserve">timeLockERC20</t>
  </si>
  <si>
    <t xml:space="preserve">Front-running</t>
  </si>
  <si>
    <t xml:space="preserve">The 'timeLockERC20()' function is vulnerable to front-running attacks. An attacker can monitor the transaction pool and submit a transaction with a higher gas price to have their transaction included before the victim's transaction. The issue arises due to the use of 'msg.sender' and the 'expires' parameter, which can be manipulated by an attacker.</t>
  </si>
  <si>
    <t xml:space="preserve">The `fulfill` function is vulnerable to reentrancy attacks since it makes external calls (transferring assets) before updating the state (variantTransactionData). An attacker could exploit this vulnerability by calling the fulfill function again during the external call, leading to incorrect state updates.</t>
  </si>
  <si>
    <t xml:space="preserve">prepare</t>
  </si>
  <si>
    <t xml:space="preserve">The `prepare` function is vulnerable to front-running attacks, as it doesn't check for the validity of the transaction sender before updating the state. An attacker could monitor pending transactions and attempt to front-run the prepare function by submitting a transaction with a higher gas price to claim the position before the original transaction gets mined.</t>
  </si>
  <si>
    <t xml:space="preserve">The `cancel` function is vulnerable to a reentrancy attack. This is because the function first updates the `variantTransactionData` mapping and then performs the `LibAsset.transferAsset` calls to transfer the assets. An attacker may create a malicious contract that can call back the `cancel` function in between the state update and the transfer calls, leading to incorrect state updates and asset transfers.</t>
  </si>
  <si>
    <t xml:space="preserve">19_3</t>
  </si>
  <si>
    <t xml:space="preserve">In the `fulfill` function, external calls to untrusted contracts (`IFulfillHelper(txData.callTo).addFunds` and `IFulfillHelper(txData.callTo).execute`) are made before the state is updated. Although the contract uses the `nonReentrant` modifier, a potential reentrancy attack may occur if the called contracts are malicious.</t>
  </si>
  <si>
    <t xml:space="preserve">Front Running</t>
  </si>
  <si>
    <t xml:space="preserve">In the `prepare` function, there's no protection against front running attacks. A malicious miner could reorder or manipulate transactions to their advantage. For example, a miner could see a user preparing a transaction and insert their own transaction before the user's, potentially exploiting the user.</t>
  </si>
  <si>
    <t xml:space="preserve">24_1</t>
  </si>
  <si>
    <t xml:space="preserve">The `redeemToken` function is marked as nonReentrant (using ReentrancyGuardUpgradeable), but it is still vulnerable to reentrancy attacks due to the use of `safeTransferFrom` after updating the contract's state. The `safeTransferFrom` function can potentially call a malicious contract that re-enters `redeemToken`, causing unexpected behavior.</t>
  </si>
  <si>
    <t xml:space="preserve">24_2</t>
  </si>
  <si>
    <t xml:space="preserve">_requireYieldSource</t>
  </si>
  <si>
    <t xml:space="preserve">Incorrect conditional check</t>
  </si>
  <si>
    <t xml:space="preserve">In the _requireYieldSource function, the logic for checking if the provided yield source is valid seems to be incorrect. The condition `isInvalidYieldSource = depositTokenAddress != address(0);` should be `isInvalidYieldSource = depositTokenAddress == address(0);`. The current code will return true when the depositTokenAddress is a non-zero address, marking a valid yield source as invalid, causing the require statement to fail.</t>
  </si>
  <si>
    <t xml:space="preserve">24_3</t>
  </si>
  <si>
    <t xml:space="preserve">The `redeemToken` function is vulnerable to a reentrancy attack because it updates the user balance by calling `_burnShares(amount)` after the external call to `yieldSource.redeemToken(amount)`. An attacker could exploit this vulnerability by creating a malicious YieldSource contract that, when `redeemToken` is called, re-enters the `redeemToken` function before the user balance is updated, allowing the attacker to withdraw more than they should be able to.</t>
  </si>
  <si>
    <t xml:space="preserve">The `supplyTokenTo` function is also vulnerable to a reentrancy attack because it updates the user balance by calling `_mintShares(amount, to)` after the external call to `yieldSource.supplyTokenTo(amount, address(this))`. An attacker could exploit this vulnerability by creating a malicious YieldSource contract that, when `supplyTokenTo` is called, re-enters the `supplyTokenTo` function before the user balance is updated, allowing the attacker to mint more shares than they should be able to.</t>
  </si>
  <si>
    <t xml:space="preserve">The claim function allows any user to claim rewards on behalf of any other user. There should be an access control check to ensure that only the rightful owner of the rewards can claim them.</t>
  </si>
  <si>
    <t xml:space="preserve">25_2</t>
  </si>
  <si>
    <t xml:space="preserve">Incorrect rewards accumulation</t>
  </si>
  <si>
    <t xml:space="preserve">In the _updateUserRewards function, the rewards are calculated using the `_balanceOf[user]` instead of the balance after the token amount is minted, burned, or transferred. This leads to incorrect rewards being accumulated for users during these operations.</t>
  </si>
  <si>
    <t xml:space="preserve">No integer overflow check in `_updateUserRewards()`</t>
  </si>
  <si>
    <t xml:space="preserve">In the `_updateUserRewards()` function, the new value of user reserves is calculated without checking for integer overflows. This can potentially lead to incorrect reward calculations.</t>
  </si>
  <si>
    <t xml:space="preserve">35_2</t>
  </si>
  <si>
    <t xml:space="preserve">subscribe</t>
  </si>
  <si>
    <t xml:space="preserve">Incorrect Mapping Indexing</t>
  </si>
  <si>
    <t xml:space="preserve">In the subscribe function, the incentive is retrieved using the positionId, which should be incentiveId.</t>
  </si>
  <si>
    <t xml:space="preserve">claimReward</t>
  </si>
  <si>
    <t xml:space="preserve">In the claimReward function, the incentive is retrieved using the positionId, which should be incentiveId.</t>
  </si>
  <si>
    <t xml:space="preserve">getReward</t>
  </si>
  <si>
    <t xml:space="preserve">In the getReward function, the incentive is retrieved using the positionId, which should be incentiveId.</t>
  </si>
  <si>
    <t xml:space="preserve">35_3</t>
  </si>
  <si>
    <t xml:space="preserve">Incorrect mapping access</t>
  </si>
  <si>
    <t xml:space="preserve">In the `subscribe` function, the `Incentive` object is being retrieved using the `positionId` instead of the `incentiveId`. This will result in accessing the wrong incentive object.</t>
  </si>
  <si>
    <t xml:space="preserve">In the `claimReward` function, the `Incentive` object is being retrieved using the `positionId` instead of the `incentiveId`. This will result in accessing the wrong incentive object.</t>
  </si>
  <si>
    <t xml:space="preserve">36_1</t>
  </si>
  <si>
    <t xml:space="preserve">handleFees()</t>
  </si>
  <si>
    <t xml:space="preserve">The `handleFees()` function is called in the `mint()` and `burn()` functions, as well as in the `auctionBurn()` function, which is called externally by the auction contract. The `handleFees()` function updates the `lastFee` state variable, and then mints tokens to the publisher and the owner. The issue arises because the call to `_mint()` can potentially trigger a reentrancy attack if the publisher or the owner is a malicious contract. To mitigate this issue, you should either use the checks-effects-interactions pattern or apply a reentrancy guard to the `handleFees()` function.</t>
  </si>
  <si>
    <t xml:space="preserve">36_3</t>
  </si>
  <si>
    <t xml:space="preserve">handleFees</t>
  </si>
  <si>
    <t xml:space="preserve">In the handleFees() function, the contract mints tokens and sends them to the publisher and the factory owner. This operation might be prone to reentrancy attacks, as an attacker can use a malicious contract as the publisher or factory owner and call functions such as mint() or burn() in the fallback function. To mitigate this issue, consider using the Checks-Effects-Interactions pattern.</t>
  </si>
  <si>
    <t xml:space="preserve">In the handleFees() function, when calculating the fee and the newIbRatio, arithmetic operations with large numbers can lead to integer overflow. To avoid this issue, consider using the SafeMath library from OpenZeppelin for all arithmetic operations in the contract.</t>
  </si>
  <si>
    <t xml:space="preserve">approveUnderlying</t>
  </si>
  <si>
    <t xml:space="preserve">Unchecked Token Approvals</t>
  </si>
  <si>
    <t xml:space="preserve">In the approveUnderlying() function, the contract approves an unlimited allowance of each token for the spender. This approach might not be secure, as it can allow malicious contracts to drain all tokens. Instead, consider setting a reasonable allowance limit or resetting the allowance to zero before setting a new value.</t>
  </si>
  <si>
    <t xml:space="preserve">Unprotected State Variables</t>
  </si>
  <si>
    <t xml:space="preserve">State variables (publisher, licenseFee, factory, auction, ibRatio, pendingPublisher, pendingLicenseFee, pendingWeights, tokens, weights, and lastFee) are declared as public, which can expose them to potential manipulation. Consider making them private and providing getter functions if necessary.</t>
  </si>
  <si>
    <t xml:space="preserve">updateReserve</t>
  </si>
  <si>
    <t xml:space="preserve">Incorrect reserve update</t>
  </si>
  <si>
    <t xml:space="preserve">The updateReserve function calculates the new reserve as the difference between the contract's balance and the sum of mochiShare and treasuryShare. However, this calculation does not take into account any potential change in the contract's balance after the update. An attacker could manipulate the balance to cause an incorrect state update.</t>
  </si>
  <si>
    <t xml:space="preserve">changeTreasuryRatio and changevMochiRatio</t>
  </si>
  <si>
    <t xml:space="preserve">The functions changeTreasuryRatio and changevMochiRatio do not validate the input value of the ratio. This could lead to unintended consequences, such as setting the ratio to more than 100%, resulting in an incorrect state update. It is recommended to add a check to ensure that the input ratio is within the acceptable range (0 to 100%).</t>
  </si>
  <si>
    <t xml:space="preserve">The distributeMochi function calls the _buyMochi and _shareMochi internal functions. The _buyMochi function interacts with an external contract (Uniswap) to swap tokens, while the _shareMochi function transfers tokens to multiple addresses. These external calls can potentially be exploited to perform a reentrancy attack. To mitigate this risk, it is recommended to implement checks-effects-interactions pattern and use a reentrancy guard.</t>
  </si>
  <si>
    <t xml:space="preserve">Incorrect calculations in _shareMochi</t>
  </si>
  <si>
    <t xml:space="preserve">The _shareMochi function calculates the amount of Mochi to be sent to the vMochi Vault and veCRV Holders, but it does not update the mochiShare and treasuryShare correctly. The current implementation sets mochiShare and treasuryShare to zero after the Mochi transfers. However, this can lead to incorrect state updates if there's any remaining balance after the transfers. Instead, mochiShare and treasuryShare should be updated according to the actual amounts transferred.</t>
  </si>
  <si>
    <t xml:space="preserve">addReward</t>
  </si>
  <si>
    <t xml:space="preserve">Incorrect reward update</t>
  </si>
  <si>
    <t xml:space="preserve">The addReward function calculates the new reward as the difference between the contract's balance and the total rewards. However, this calculation does not take into account any potential change in the contract's balance after the update. An attacker could manipulate the balance to cause an incorrect state update. It is recommended to use a proper method to calculate new rewards and update the state.</t>
  </si>
  <si>
    <t xml:space="preserve">claimRewardAsMochi</t>
  </si>
  <si>
    <t xml:space="preserve">The claimRewardAsMochi function interacts with an external contract (Uniswap) to swap tokens and then transfers the Mochi tokens to the message sender. These external calls can potentially be exploited to perform a reentrancy attack. To mitigate this risk, it is recommended to implement checks-effects-interactions pattern and use a reentrancy guard.</t>
  </si>
  <si>
    <t xml:space="preserve">Insufficient input validation</t>
  </si>
  <si>
    <t xml:space="preserve">The claimRewardAsMochi function does not validate the input value of reward[msg.sender] before approving the Uniswap router to transfer USDM. This could lead to unintended consequences, such as transferring an incorrect amount of tokens. It is recommended to add a check to ensure that the reward amount is greater than 0.</t>
  </si>
  <si>
    <t xml:space="preserve">Unclaimed rewards</t>
  </si>
  <si>
    <t xml:space="preserve">The claimRewardAsMochi function does not update the reward mapping and the rewards variable after a successful claim. This can lead to users being able to claim their rewards multiple times. It is recommended to update the reward mapping and the rewards variable after a successful claim to avoid double-claiming.</t>
  </si>
  <si>
    <t xml:space="preserve">In the updateReserve function, there is a possibility of integer overflow when calculating the newReserve. If the sum of mochiShare and treasuryShare is larger than the balance of USDM, the subtraction operation will result in an incorrect value for newReserve. This can lead to incorrect updates of treasuryShare and mochiShare.</t>
  </si>
  <si>
    <t xml:space="preserve">In the addReward function, there is a possibility of integer overflow when calculating the newReward. If the rewards variable is larger than the balance of USDM, the subtraction operation will result in an incorrect value for newReward. This can lead to incorrect updates of the reward mapping and the rewards variable.</t>
  </si>
  <si>
    <t xml:space="preserve">The `updateReserve` function calculates the new reserve and updates the `treasuryShare`. However, it doesn't update the `mochiShare` correctly. The updated `mochiShare` should be calculated based on the updated `treasuryShare` and not the balance of USDM in the contract.</t>
  </si>
  <si>
    <t xml:space="preserve">The `distributeMochi` function calls `_buyMochi` and `_shareMochi` functions, which can interact with external contracts (Uniswap and Mochi tokens). This may open up the possibility for reentrancy attacks, which could lead to incorrect state updates.</t>
  </si>
  <si>
    <t xml:space="preserve">The `addReward` function calculates the new reward and updates the `reward` mapping for the given recipient, but it doesn't update the `rewards` state variable correctly. The `rewards` variable should be updated based on the new reward for the recipient.</t>
  </si>
  <si>
    <t xml:space="preserve">The `claimRewardAsMochi` function interacts with external contracts (Uniswap and Mochi tokens) and may open up the possibility for reentrancy attacks, which could lead to incorrect state updates.</t>
  </si>
  <si>
    <t xml:space="preserve">54_1</t>
  </si>
  <si>
    <t xml:space="preserve">approve</t>
  </si>
  <si>
    <t xml:space="preserve">Front-Running Attack</t>
  </si>
  <si>
    <t xml:space="preserve">The approve function is vulnerable to a front-running attack. A malicious user can watch the transaction pool and quickly send a transaction with a higher gas price to "steal" the approval before the original transaction gets mined. Since the approve function does not have any protection against this, a front-running attacker can exploit this vulnerability.</t>
  </si>
  <si>
    <t xml:space="preserve">In the `transferFrom` function, the state update for the `_tokenId` of the `fromKey` should be done before updating the expirationTimestamp. Otherwise, if an error occurs, it may lead to an incorrect state update.</t>
  </si>
  <si>
    <t xml:space="preserve">shareKey</t>
  </si>
  <si>
    <t xml:space="preserve">In the `shareKey` function, there is a possibility of overwriting the existing key of `_to` address without considering the existing key's expiration time. This may result in an incorrect state update for the key's expirationTimestamp.</t>
  </si>
  <si>
    <t xml:space="preserve">54_2</t>
  </si>
  <si>
    <t xml:space="preserve">_recordOwner</t>
  </si>
  <si>
    <t xml:space="preserve">Approval bypass</t>
  </si>
  <si>
    <t xml:space="preserve">The _recordOwner function pushes the _keyOwner into the `owners` array without checking if the _keyOwner already exists in the array. This can lead to duplicate entries in the `owners` array, causing inefficiency in storage and possible incorrect results in the `numberOfOwners` function.</t>
  </si>
  <si>
    <t xml:space="preserve">In the shareKey function, the parent key's expirationTimestamp is updated using the _timeMachine function. However, the tokenId is not updated, which could cause issues if the parent key is shared multiple times. To fix this, the parent key's tokenId should be updated to a new tokenId after the _timeMachine function call.</t>
  </si>
  <si>
    <t xml:space="preserve">In the transferFrom function, the fromKey's tokenId is set to 0 after transferring the key to the new owner, but the fromKey's key manager is not reset. This could lead to incorrect state update, as the key manager should be reset to the address(0). To fix this, reset the key manager for the fromKey after setting the tokenId to 0.</t>
  </si>
  <si>
    <t xml:space="preserve">In the transfer function, the key is shared or transferred based on the condition `maxTimeToSend &lt; timeRemaining`. However, this check does not account for the transfer fee. As a result, the check should be updated to include the transfer fee. To fix this, calculate the transfer fee and update the condition as `maxTimeToSend + transferFee &lt; timeRemaining`.</t>
  </si>
  <si>
    <t xml:space="preserve">54_3</t>
  </si>
  <si>
    <t xml:space="preserve">In the shareKey function, the `_checkOnERC721Received` call is made after the state updates have been completed. This call can potentially trigger an external contract, making the contract vulnerable to reentrancy attacks.</t>
  </si>
  <si>
    <t xml:space="preserve">Similar to the shareKey function, the transferFrom function has a potential reentrancy vulnerability due to the call to `emit Transfer(_from, _recipient, _tokenId);` before the state updates have been completed.</t>
  </si>
  <si>
    <t xml:space="preserve">In the transfer function, the shareKey and transferFrom functions are called before the state updates, which could also lead to a reentrancy vulnerability.</t>
  </si>
  <si>
    <t xml:space="preserve">safeTransferFrom</t>
  </si>
  <si>
    <t xml:space="preserve">The safeTransferFrom function calls the transferFrom function and then checks the ERC721Received. This also poses a potential reentrancy vulnerability.</t>
  </si>
  <si>
    <t xml:space="preserve">58_1</t>
  </si>
  <si>
    <t xml:space="preserve">_push</t>
  </si>
  <si>
    <t xml:space="preserve">The _push function does not update the actualTokenAmounts array after the deposit function is executed. It should update the actualTokenAmounts array with the actual deposited amount to accurately reflect the changes in the state.</t>
  </si>
  <si>
    <t xml:space="preserve">_pull</t>
  </si>
  <si>
    <t xml:space="preserve">The _pull function does not update the actualTokenAmounts array after the withdraw function is executed. It should update the actualTokenAmounts array with the actual withdrawn amount to accurately reflect the changes in the state.</t>
  </si>
  <si>
    <t xml:space="preserve">updateTvls</t>
  </si>
  <si>
    <t xml:space="preserve">Missing state update</t>
  </si>
  <si>
    <t xml:space="preserve">The updateTvls function updates the _tvls array with the current aToken balances, but it does not update the state of the Vault contract with the updated _tvls array. The Vault state should be updated with the new _tvls array to reflect the changes in the total value locked.</t>
  </si>
  <si>
    <t xml:space="preserve">The function `updateTvls()` updates the `_tvls` state variable by setting its elements to the current aToken balances. This may not take into account accrued interest or donations to Aave since the last deposit or withdraw, leading to an incorrect state update.</t>
  </si>
  <si>
    <t xml:space="preserve">The function `_push()` does not update the `_tvls` state variable after depositing tokens to the Aave Lending Pool. This could lead to an incorrect state as the function does not reflect the new token amounts in the `_tvls` state variable.</t>
  </si>
  <si>
    <t xml:space="preserve">The function `_pull()` does not update the `_tvls` state variable after withdrawing tokens from the Aave Lending Pool. This could lead to an incorrect state as the function does not reflect the new token amounts in the `_tvls` state variable.</t>
  </si>
  <si>
    <t xml:space="preserve">58_3</t>
  </si>
  <si>
    <t xml:space="preserve">Incorrect token amount update</t>
  </si>
  <si>
    <t xml:space="preserve">The `_push` function does not update the actual amount of tokens deposited into the Aave protocol. If the deposit operation in Aave does not accept the entire token amount requested, the function will still return the requested tokenAmounts instead of the actual deposited amounts.</t>
  </si>
  <si>
    <t xml:space="preserve">The `_pull` function does not update the actual amount of tokens withdrawn from the Aave protocol. If the withdraw operation in Aave does not return the entire token amount requested, the function will still return the requested tokenAmounts instead of the actual withdrawn amounts.</t>
  </si>
  <si>
    <t xml:space="preserve">Unnecessary updateTvls() call</t>
  </si>
  <si>
    <t xml:space="preserve">The `updateTvls()` function is called in the `_push` function after depositing tokens to Aave, but it is not necessary because the `_tvls` are already updated with the tokenAmounts in the same function. This causes an additional gas cost for users when depositing tokens.</t>
  </si>
  <si>
    <t xml:space="preserve">The `updateTvls()` function is called in the `_pull` function after withdrawing tokens from Aave, but it is not necessary because the `_tvls` are already updated with the tokenAmounts in the same function. This causes an additional gas cost for users when withdrawing tokens.</t>
  </si>
  <si>
    <t xml:space="preserve">65_1</t>
  </si>
  <si>
    <t xml:space="preserve">In the `handleFees` function, the calculation for `feePct` can potentially lead to an integer overflow when multiplying `timeDiff` by `licenseFee`. It is recommended to use SafeMath library to avoid integer overflows.</t>
  </si>
  <si>
    <t xml:space="preserve">mintTo</t>
  </si>
  <si>
    <t xml:space="preserve">The `mintTo` function is missing input validation to check if the provided `to` address is not equal to the zero address. It is important to validate the input to prevent accidental token minting to the zero address.</t>
  </si>
  <si>
    <t xml:space="preserve">changeLicenseFee</t>
  </si>
  <si>
    <t xml:space="preserve">In the `changeLicenseFee` function, the condition `require(newLicenseFee &gt;= factory.minLicenseFee() &amp;&amp; newLicenseFee != licenseFee);` might not be enough to prevent extreme values. It is recommended to add an upper bound check for `newLicenseFee` to prevent setting an unreasonably high value.</t>
  </si>
  <si>
    <t xml:space="preserve">handleFees, changePublisher, changeLicenseFee, setNewMaxSupply, publishNewIndex</t>
  </si>
  <si>
    <t xml:space="preserve">Use of block.timestamp</t>
  </si>
  <si>
    <t xml:space="preserve">The use of `block.timestamp` can be manipulated by miners to some extent. Although the impact in this contract is not significant, it is still recommended to be aware of potential miner manipulation when using `block.timestamp`.</t>
  </si>
  <si>
    <t xml:space="preserve">65_2</t>
  </si>
  <si>
    <t xml:space="preserve">The `mintTo` function is marked as nonReentrant, but it calls the `pullUnderlying` function which in turn calls `IERC20.safeTransferFrom`. The `safeTransferFrom` function may result in reentrancy issues, as it can potentially call an external contract via the `from` address. An attacker may use this vulnerability to manipulate the state before the execution of the rest of the function.</t>
  </si>
  <si>
    <t xml:space="preserve">validateWeights</t>
  </si>
  <si>
    <t xml:space="preserve">Incomplete validation</t>
  </si>
  <si>
    <t xml:space="preserve">The `validateWeights` function is intended to check the uniqueness of tokens, but it only adds the current token to the `tokenList` array after the inner loop has finished. This means that the function may fail to detect duplicate tokens in some cases. To fix this, move the `tokenList[i] = _tokens[i];` line inside the inner loop, right after the `require(_tokens[i] != tokenList[x]);` statement.</t>
  </si>
  <si>
    <t xml:space="preserve">Timestamp manipulation</t>
  </si>
  <si>
    <t xml:space="preserve">The `handleFees` function relies on `block.timestamp` to calculate the time difference and fees. However, `block.timestamp` can be manipulated by miners within a certain range. Instead of using `block.timestamp`, consider using block numbers and a well-defined average block time for more accurate and less manipulable calculations.</t>
  </si>
  <si>
    <t xml:space="preserve">65_3</t>
  </si>
  <si>
    <t xml:space="preserve">Unbounded for loop</t>
  </si>
  <si>
    <t xml:space="preserve">In the function `validateWeights`, there is an unbounded for loop that could potentially consume a lot of gas if the `_tokens` array is large. This could lead to exceeding the block gas limit or the transaction running out of gas.</t>
  </si>
  <si>
    <t xml:space="preserve">Incorrect handling of decimals</t>
  </si>
  <si>
    <t xml:space="preserve">The function `handleFees` calculates the fee based on `timeDiff * licenseFee / ONE_YEAR`. However, this calculation may not be accurate due to integer division. It would be better to use SafeMath to perform this calculation.</t>
  </si>
  <si>
    <t xml:space="preserve">Timestamp manipulation risk</t>
  </si>
  <si>
    <t xml:space="preserve">The functions `handleFees`, `changePublisher`, `changeLicenseFee`, `setNewMaxSupply`, and `publishNewIndex` rely on the `block.timestamp` for time-based calculations. This is risky because miners can manipulate the block timestamp within a certain range. It's recommended to use a more secure alternative, like OpenZeppelin's TimelockController.</t>
  </si>
  <si>
    <t xml:space="preserve">No reentrancy protection</t>
  </si>
  <si>
    <t xml:space="preserve">The `handleFees` function is called in multiple places, including the `mintTo`, `burn`, and `auctionBurn` functions, which are protected by the `nonReentrant` modifier. However, the `handleFees` function itself does not have the `nonReentrant` modifier, which could lead to reentrancy issues if the function is called directly or indirectly by a malicious contract. It's recommended to add the `nonReentrant` modifier to the `handleFees` function.</t>
  </si>
  <si>
    <t xml:space="preserve">pushUnderlying, pullUnderlying</t>
  </si>
  <si>
    <t xml:space="preserve">Floating-point rounding error</t>
  </si>
  <si>
    <t xml:space="preserve">In the functions `pushUnderlying` and `pullUnderlying`, the calculation of `tokenAmount` is subject to floating-point rounding errors due to the division operation (`ibRatio / BASE / BASE`). To avoid this, consider using the SafeMath library for more precise calculations or use a fixed-point arithmetic library like ABDKMath64x64.</t>
  </si>
  <si>
    <t xml:space="preserve">68_1</t>
  </si>
  <si>
    <t xml:space="preserve">joinTokenSingle</t>
  </si>
  <si>
    <t xml:space="preserve">In the `joinTokenSingle` function, the `safeTransfer` function is called before `_joinTokenSingle`. This may lead to potential reentrancy attacks if the called contract has a malicious implementation of `safeTransfer`. This could result in the called contract making a recursive call to `joinTokenSingle` and updating the state incorrectly.</t>
  </si>
  <si>
    <t xml:space="preserve">_joinTokenSingle</t>
  </si>
  <si>
    <t xml:space="preserve">In the `_joinTokenSingle` function, the contract calls the `swapExactTokensForTokens` function without specifying a minimum amount of output tokens. This leaves the contract open to front-running attacks, where attackers can manipulate the token price on the DEX by placing their transactions just before the contract's transaction.</t>
  </si>
  <si>
    <t xml:space="preserve">Price Manipulation</t>
  </si>
  <si>
    <t xml:space="preserve">In the `_joinTokenSingle` function, the contract calls the `swapExactTokensForTokens` function with `block.timestamp` as the deadline. Since `block.timestamp` can be manipulated by miners to some extent, it could be used for price manipulation. To mitigate this risk, it is recommended to use a reasonable user-specified deadline instead of `block.timestamp`.</t>
  </si>
  <si>
    <t xml:space="preserve">68_2</t>
  </si>
  <si>
    <t xml:space="preserve">The joinTokenSingle function is vulnerable to a reentrancy attack. The function first transfers the input tokens from the user to the contract and then calls the _joinTokenSingle internal function. After executing _joinTokenSingle, it sends the remaining input tokens back to the user. The problem is that the function sends the remaining tokens back to the user before updating the state of the contract, which makes it vulnerable to a reentrancy attack. An attacker could potentially call the joinTokenSingle function again before the state is updated, leading to incorrect state updates and unintended behavior. To mitigate this issue, you can use the Checks-Effects-Interactions pattern, which would involve updating the state before transferring the remaining tokens back to the user.</t>
  </si>
  <si>
    <t xml:space="preserve">The _joinTokenSingle function is vulnerable to front-running attacks. The function uses the block.timestamp for the deadline when calling the IPangolinRouter(swap.exchange).swapExactTokensForTokens function. Since miners can manipulate the block.timestamp within a certain range, a malicious miner or a front-runner could potentially exploit this to their advantage. To mitigate this issue, you can use the block.number instead of block.timestamp and add a reasonable number of blocks for the deadline. This would make it more difficult for a miner or a front-runner to manipulate the deadline.</t>
  </si>
  <si>
    <t xml:space="preserve">68_3</t>
  </si>
  <si>
    <t xml:space="preserve">Incorrect amount check</t>
  </si>
  <si>
    <t xml:space="preserve">In the `joinTokenSingle` function, there is no proper check for the input token amount provided by the user. It is possible that the user sends a higher input amount than `_joinTokenStruct.inputAmount`, but the smart contract only transfers `_joinTokenStruct.inputAmount` to itself. When the function completes, any remaining balance of the input token will be sent back to the user. This might lead to incorrect calculations in the `_joinTokenSingle` function.</t>
  </si>
  <si>
    <t xml:space="preserve">Possible price manipulation</t>
  </si>
  <si>
    <t xml:space="preserve">In the `_joinTokenSingle` function, the deadline for the `swapExactTokensForTokens` function call is set to `block.timestamp`, which essentially means the swap will not fail due to deadline issues. However, this makes the contract vulnerable to price manipulation by malicious actors who can perform sandwich attacks. Setting a proper deadline for the swap can help mitigate this issue.</t>
  </si>
  <si>
    <t xml:space="preserve">_maxApprove</t>
  </si>
  <si>
    <t xml:space="preserve">Unsafe approval</t>
  </si>
  <si>
    <t xml:space="preserve">The `_maxApprove` function is called multiple times to set the allowance for various token transfers. This function approves the maximum possible uint256 value as the allowance, which can be risky in certain scenarios. To avoid unnecessary risks, it is better to only approve the amount that is actually needed.</t>
  </si>
  <si>
    <t xml:space="preserve">Integer Overflow and Underflow</t>
  </si>
  <si>
    <t xml:space="preserve">In the `_updateVaderPrice` function, when calculating `currentLiquidityEvaluation`, an unchecked block is used which can potentially lead to integer underflow or overflow. Since the Solidity version used is 0.8.9, arithmetic operations are checked for underflow and overflow by default. However, the unchecked block is explicitly disabling this protection, which could lead to incorrect calculations and state updates.</t>
  </si>
  <si>
    <t xml:space="preserve">Stale Chainlink Price</t>
  </si>
  <si>
    <t xml:space="preserve">The function getChainlinkPrice does not take into account the possibility of a stale price due to a price update not occurring for a long period of time. It only checks if the answeredInRound &gt;= roundID, but this might not be enough to ensure the freshness of the data.</t>
  </si>
  <si>
    <t xml:space="preserve">_updateVaderPrice, _updateUSDVPrice</t>
  </si>
  <si>
    <t xml:space="preserve">Unchecked Arithmetic Operations</t>
  </si>
  <si>
    <t xml:space="preserve">In both functions _updateVaderPrice and _updateUSDVPrice, there are unchecked arithmetic operations that may lead to incorrect results due to overflows or underflows. For instance, the calculation of pairData.nativeTokenPriceAverage can be subject to overflows if the values involved are too large. Using SafeMath or Solidity 0.8.x's built-in overflow/underflow checks is recommended to prevent these issues.</t>
  </si>
  <si>
    <t xml:space="preserve">syncVaderPrice, syncUSDVPrice</t>
  </si>
  <si>
    <t xml:space="preserve">In functions syncVaderPrice and syncUSDVPrice, the state variables totalLiquidityWeight are updated after the for loop, while the for loop involves external calls like getChainlinkPrice. This may lead to potential reentrancy issues if the called contracts are malicious or compromised. It is recommended to apply the Checks-Effects-Interactions pattern and update the state variables before making external calls.</t>
  </si>
  <si>
    <t xml:space="preserve">getStaleVaderPrice, getStaleUSDVPrice</t>
  </si>
  <si>
    <t xml:space="preserve">Stale price data vulnerability</t>
  </si>
  <si>
    <t xml:space="preserve">The functions getStaleVaderPrice and getStaleUSDVPrice calculate and return the stale prices of Vader and USDV tokens, respectively. These stale prices are based on the pastLiquidityEvaluation values of the pairs. If these values are not updated frequently enough or if there are issues with the oracles, the stale prices may not accurately reflect the current market prices, which could be exploited by attackers for profit.</t>
  </si>
  <si>
    <t xml:space="preserve">Reentrancy vulnerability</t>
  </si>
  <si>
    <t xml:space="preserve">The getVaderPrice and getUSDVPrice functions update the state of the contract, and then call an external contract (Chainlink Oracle) to get the price of the foreign asset. If the external contract is malicious and calls the same function before the initial function call is completed, it could lead to a reentrancy attack. You can mitigate this issue by using a reentrancy guard or by restructuring the code to separate state updates from external calls.</t>
  </si>
  <si>
    <t xml:space="preserve">Unchecked arithmetic vulnerability</t>
  </si>
  <si>
    <t xml:space="preserve">In the _updateVaderPrice and _updateUSDVPrice functions, the nativeTokenPriceAverage is calculated using unchecked arithmetic. If an overflow or underflow occurs, this could lead to incorrect price updates. To avoid this issue, you should use the "SafeMath" library or "checked" arithmetic operations in Solidity 0.8.x to ensure that overflows and underflows are handled properly.</t>
  </si>
  <si>
    <t xml:space="preserve">setupVader, setupUSDV</t>
  </si>
  <si>
    <t xml:space="preserve">Unhandled error conditions</t>
  </si>
  <si>
    <t xml:space="preserve">In the setupVader and setupUSDV functions, there are no checks to ensure that the updatePeriod is greater than the maxUpdateWindow. If the updatePeriod is less than the maxUpdateWindow, this could lead to incorrect price updates. You should add a check to ensure that the updatePeriod is greater than the maxUpdateWindow before allowing the function to proceed.</t>
  </si>
  <si>
    <t xml:space="preserve">withdrawGovernanceAsset</t>
  </si>
  <si>
    <t xml:space="preserve">The `withdrawGovernanceAsset` function is vulnerable to a reentrancy attack. The function first transfers the asset to the user and then deletes the pending flash decision. If a malicious user can perform a reentrant call within the same transaction, they can potentially withdraw their asset multiple times.</t>
  </si>
  <si>
    <t xml:space="preserve">enforceTolerance</t>
  </si>
  <si>
    <t xml:space="preserve">Incorrect Error Message</t>
  </si>
  <si>
    <t xml:space="preserve">The error messages in the `enforceTolerance` function are not informative, as they only show "FE1". It would be more helpful to have a descriptive message to indicate the exact reason for the error. I recommend updating the error messages to provide more context.</t>
  </si>
  <si>
    <t xml:space="preserve">configureSecurityParameters</t>
  </si>
  <si>
    <t xml:space="preserve">In the function configureSecurityParameters, the parameter 'changeTolerance' is not properly validated. The require statement checks if security.changeTolerance is less than 100, but it should check if changeTolerance is less than 100.</t>
  </si>
  <si>
    <t xml:space="preserve">enforceToleranceInt</t>
  </si>
  <si>
    <t xml:space="preserve">In the function enforceToleranceInt, the calculation `-1 * v1` and `-1 * v2` can result in integer underflow, as Solidity does not protect against integer underflows by default.</t>
  </si>
  <si>
    <t xml:space="preserve">Reentrancy Vulnerability</t>
  </si>
  <si>
    <t xml:space="preserve">In the withdrawGovernanceAsset function, the external call to transfer the asset is made before the state is updated. This could potentially lead to a reentrancy attack where an attacker could repeatedly call the function and drain the contract of the assets. To fix this, the state should be updated before making the external call.</t>
  </si>
  <si>
    <t xml:space="preserve">The assertGovernanceApproved function calls the transferFrom function without checking its return value. If the transferFrom function fails for any reason, it may return false, but the rest of the assertGovernanceApproved function will continue to execute, leading to incorrect state updates. To fix this issue, the return value of the transferFrom function should be checked.</t>
  </si>
  <si>
    <t xml:space="preserve">Incorrect handling of deposit fees</t>
  </si>
  <si>
    <t xml:space="preserve">When depositing tokens with a deposit fee, the `_amount` is reduced by the fee, but the original `_amount` is still deposited into the MasterChef contract.</t>
  </si>
  <si>
    <t xml:space="preserve">add</t>
  </si>
  <si>
    <t xml:space="preserve">Inaccurate error message</t>
  </si>
  <si>
    <t xml:space="preserve">The error message "already registered" in the `add()` function can be misleading because it checks if `pid[_token]` is 0. Since pid starts from 0, it may cause confusion when debugging or understanding the contract.</t>
  </si>
  <si>
    <t xml:space="preserve">Rounding Error</t>
  </si>
  <si>
    <t xml:space="preserve">In the deposit and withdraw functions, reward calculations involve integer division, which may cause rounding errors. In the following lines</t>
  </si>
  <si>
    <t xml:space="preserve">In the deposit function, the `user.amount` and `pool.accConcurPerShare` are being multiplied without checking for integer overflow. The product of these two values could exceed the maximum value for a uint128, causing an integer overflow.</t>
  </si>
  <si>
    <t xml:space="preserve">The function `unstakeFor` is vulnerable to a reentrancy attack because it updates the user's balance after transferring the tokens. An attacker can call the function, receive the tokens, and then call the function again before the balance is updated, potentially allowing them to drain the contract.</t>
  </si>
  <si>
    <t xml:space="preserve">112_2</t>
  </si>
  <si>
    <t xml:space="preserve">Re-entrancy vulnerability</t>
  </si>
  <si>
    <t xml:space="preserve">The `unstakeFor` function can potentially be exploited by a reentrancy attack since it calls an external contract, `IERC20(token).safeTransfer(dst, amount)`, before updating the state of `balances[src]`. If the `dst` address is a malicious contract, it can re-enter the `unstakeFor` function and withdraw more tokens than it should be allowed to.</t>
  </si>
  <si>
    <t xml:space="preserve">145_1</t>
  </si>
  <si>
    <t xml:space="preserve">setSubnodeOwner</t>
  </si>
  <si>
    <t xml:space="preserve">Incorrect State Update</t>
  </si>
  <si>
    <t xml:space="preserve">The function 'setSubnodeOwner' allows a user to set a subnode owner, but it does not correctly update the state of the subnode. The function sets the subnode owner without checking if the owner exists or not. This could result in an incorrect state update and allow an attacker to change the owner of a subnode without proper authorization.</t>
  </si>
  <si>
    <t xml:space="preserve">wrapETH2LD</t>
  </si>
  <si>
    <t xml:space="preserve">The 'wrapETH2LD' function is vulnerable to reentrancy attacks. The function transfers the ownership of the token to the contract before updating the state (i.e., calling _wrapETH2LD()). An attacker can exploit this vulnerability by calling the same function again before the state update is completed, which can lead to incorrect state updates and unintended consequences.</t>
  </si>
  <si>
    <t xml:space="preserve">unwrapETH2LD</t>
  </si>
  <si>
    <t xml:space="preserve">Similar to the 'wrapETH2LD' function, the 'unwrapETH2LD' function is also vulnerable to reentrancy attacks. The function transfers the ownership of the token from the contract to the new registrant before updating the state (i.e., calling _unwrap()). This could allow an attacker to exploit the vulnerability by calling the same function again before the state update is completed, leading to incorrect state updates and unintended consequences.</t>
  </si>
  <si>
    <t xml:space="preserve">145_2</t>
  </si>
  <si>
    <t xml:space="preserve">wrap</t>
  </si>
  <si>
    <t xml:space="preserve">IncompatibleParent</t>
  </si>
  <si>
    <t xml:space="preserve">In the 'wrap' function, when the parentNode is equal to ETH_NODE, it reverts with 'IncompatibleParent'. However, it is not clear why wrapping a subdomain under ETH_NODE should not be allowed, as the wrapETH2LD function allows it. This may lead to inconsistent behavior between the two wrapping functions.</t>
  </si>
  <si>
    <t xml:space="preserve">setMetadataService</t>
  </si>
  <si>
    <t xml:space="preserve">Unrestricted setMetadataService</t>
  </si>
  <si>
    <t xml:space="preserve">The setMetadataService function allows changing the metadata service without any restrictions, which could potentially be abused by the contract owner to change the metadata service to a malicious one. It might be better to implement a time-lock or a multisig mechanism for updating the metadata service to prevent abuse.</t>
  </si>
  <si>
    <t xml:space="preserve">upgradeETH2LD, upgrade</t>
  </si>
  <si>
    <t xml:space="preserve">Function upgradeETH2LD and upgrade</t>
  </si>
  <si>
    <t xml:space="preserve">In both the upgradeETH2LD and upgrade functions, the upgradeContract is called without checking if it is set to a valid address. If the upgradeContract is not set (i.e., address(0)), it would result in a revert. To improve the user experience, it would be better to check if the upgradeContract is set and provide a more meaningful error message.</t>
  </si>
  <si>
    <t xml:space="preserve">145_3</t>
  </si>
  <si>
    <t xml:space="preserve">Unchecked external calls</t>
  </si>
  <si>
    <t xml:space="preserve">In the wrapETH2LD function, there is an external call to registrar.transferFrom(registrant, address(this), tokenId); that isn't checked for success or failure. This could lead to incorrect state updates in the smart contract if the transfer fails.</t>
  </si>
  <si>
    <t xml:space="preserve">registerAndWrapETH2LD</t>
  </si>
  <si>
    <t xml:space="preserve">In the registerAndWrapETH2LD function, there is an external call to registrar.register(tokenId, address(this), duration); that isn't checked for success or failure. This could lead to incorrect state updates in the smart contract if the register call fails.</t>
  </si>
  <si>
    <t xml:space="preserve">renew</t>
  </si>
  <si>
    <t xml:space="preserve">In the renew function, there is an external call to registrar.renew(tokenId, duration); that isn't checked for success or failure. This could lead to incorrect state updates in the smart contract if the renew call fails.</t>
  </si>
  <si>
    <t xml:space="preserve">setUpgradeContract</t>
  </si>
  <si>
    <t xml:space="preserve">In the setUpgradeContract function, there are external calls to registrar.setApprovalForAll(address(upgradeContract), false); and ens.setApprovalForAll(address(upgradeContract), false); that aren't checked for success or failure. This could lead to incorrect state updates in the smart contract if any of these calls fail.</t>
  </si>
  <si>
    <t xml:space="preserve">In the unwrapETH2LD function, there is an external call to registrar.transferFrom(address(this), newRegistrant, uint256(labelhash)); that isn't checked for success or failure. This could lead to incorrect state updates in the smart contract if the transfer call fails.</t>
  </si>
  <si>
    <t xml:space="preserve">release</t>
  </si>
  <si>
    <t xml:space="preserve">Incorrect state updates</t>
  </si>
  <si>
    <t xml:space="preserve">The 'release' function updates the totalLocked state by decreasing the lockAmount, but it doesn't check if the bond is actually released before updating the state. This could lead to incorrect state updates if the bond isn't released successfully.</t>
  </si>
  <si>
    <t xml:space="preserve">lock, extendLock, release</t>
  </si>
  <si>
    <t xml:space="preserve">Missing event emissions</t>
  </si>
  <si>
    <t xml:space="preserve">The 'lock', 'extendLock', and 'release' functions should emit events to record the state changes and provide an easy way to track these changes. However, there are no events emitted in these functions. To fix this, you should define events and emit them accordingly in these functions.</t>
  </si>
  <si>
    <t xml:space="preserve">claim, claimDebt, lock, extendLock, release</t>
  </si>
  <si>
    <t xml:space="preserve">The contract uses external calls to untrusted contracts (IERC20) in the 'claim', 'claimDebt', 'lock', 'extendLock', and 'release' functions. These external calls are not protected by reentrancy guards, and this can lead to reentrancy attacks. To fix this, you should use the Checks-Effects-Interactions pattern and consider adding a reentrancy guard, such as OpenZeppelin's ReentrancyGuard.</t>
  </si>
  <si>
    <t xml:space="preserve">claim</t>
  </si>
  <si>
    <t xml:space="preserve">The `claim` function calls `bondNFT.claim` and then transfers tokens to the user, which makes it susceptible to reentrancy attacks. An attacker could use a malicious contract to call the `claim` function recursively, draining the contract's funds. The use of reentrancy guards, like OpenZeppelin's ReentrancyGuard, is recommended to prevent such attacks.</t>
  </si>
  <si>
    <t xml:space="preserve">claimDebt</t>
  </si>
  <si>
    <t xml:space="preserve">The `claimDebt` function also suffers from the same reentrancy issue as the `claim` function. After calling `bondNFT.claimDebt`, tokens are transferred to the user, which opens up the possibility for reentrancy attacks. Adding a reentrancy guard is highly recommended.</t>
  </si>
  <si>
    <t xml:space="preserve">The `release` function calls `bondNFT.release` and then transfers tokens to the user, which makes it susceptible to reentrancy attacks. An attacker could use a malicious contract to call the `release` function recursively, draining the contract's funds. The use of reentrancy guards, like OpenZeppelin's ReentrancyGuard, is recommended to prevent such attacks.</t>
  </si>
  <si>
    <t xml:space="preserve">extendLock</t>
  </si>
  <si>
    <t xml:space="preserve">The `extendLock` function calls `claim` function, which is vulnerable to reentrancy attacks, and then transfers tokens from the user, which might make it susceptible to reentrancy attacks. Implementing a reentrancy guard is highly recommended to avoid such issues.</t>
  </si>
  <si>
    <t xml:space="preserve">CrossMarginTrading.sol</t>
  </si>
  <si>
    <t xml:space="preserve">false, wrong explanation</t>
  </si>
  <si>
    <t xml:space="preserve">false, as intend. gpt err</t>
  </si>
  <si>
    <t xml:space="preserve">false, as intend.</t>
  </si>
  <si>
    <t xml:space="preserve">https://code4rena.com/reports/2021-09-sushitrident-2/#h-02-wrong-usage-of-positionid-in-concentratedliquiditypoolmanager</t>
  </si>
  <si>
    <t xml:space="preserve">false, cannot modify. gpt err</t>
  </si>
  <si>
    <t xml:space="preserve">H-02, H-11</t>
  </si>
  <si>
    <t xml:space="preserve">https://code4rena.com/reports/2021-10-mochi/#h-02-feepoolv0soldistributemochi-will-unexpectedly-flush-treasuryshare-causing-the-protocol-fee-cannot-be-properly-accounted-for-and-collected</t>
  </si>
  <si>
    <t xml:space="preserve">https://code4rena.com/reports/2021-10-mochi/#h-06-referrer-can-drain-referralfeepoolv0</t>
  </si>
  <si>
    <t xml:space="preserve">false, no difference.</t>
  </si>
  <si>
    <t xml:space="preserve">false, constrained by if condition</t>
  </si>
  <si>
    <t xml:space="preserve">Incorrect state reset</t>
  </si>
  <si>
    <t xml:space="preserve">https://code4rena.com/reports/2021-11-unlock/#h-03-mixintransfersoltransferfrom-wrong-implementation-can-potentially-allows-attackers-to-reverse-transfer-and-cause-fund-loss-to-the-users</t>
  </si>
  <si>
    <t xml:space="preserve">false, updated automatically. gpt err</t>
  </si>
  <si>
    <t xml:space="preserve">false, update with updateTvls. gpt err</t>
  </si>
  <si>
    <t xml:space="preserve">false, different vars. gpt err</t>
  </si>
  <si>
    <t xml:space="preserve">false, gpt err</t>
  </si>
  <si>
    <t xml:space="preserve">false, already checked. gpt err</t>
  </si>
  <si>
    <t xml:space="preserve">https://code4rena.com/reports/2022-02-concur/#h-02-masterchef-improper-handling-of-deposit-fee</t>
  </si>
  <si>
    <t xml:space="preserve">false, already constrained. gpt err</t>
  </si>
  <si>
    <t xml:space="preserve">crossOvercollateralizedBorrow</t>
  </si>
  <si>
    <t xml:space="preserve">Business-flow atomicity violation</t>
  </si>
  <si>
    <t xml:space="preserve">In the crossOvercollateralizedBorrow function, the deposit, borrow, and withdraw operations are not atomic. If there is an issue during the execution of the function (such as a reentrancy attack, a revert in one of the called functions, or an unexpected condition), it could lead to an inconsistent state of the trader's account.</t>
  </si>
  <si>
    <t xml:space="preserve">The `crossOvercollateralizedBorrow` function deposits funds, registers a borrow, and then withdraws the borrowed funds. This function does not ensure atomicity, meaning that if any of these actions fail, the funds could be left in an inconsistent state. To fix this issue, consider using a Solidity `require` statement to check the success of each action and revert the transaction if any of them fail.</t>
  </si>
  <si>
    <t xml:space="preserve">crossSwapExactTokensForTokens</t>
  </si>
  <si>
    <t xml:space="preserve">Unexpected function invocation arguments, sequences, or frequencies</t>
  </si>
  <si>
    <t xml:space="preserve">The function crossSwapExactTokensForTokens does not check if the provided input tokens and output tokens are the same. Swapping the same tokens may lead to an unexpected behavior and loss of funds due to fees.</t>
  </si>
  <si>
    <t xml:space="preserve">crossSwapTokensForExactTokens</t>
  </si>
  <si>
    <t xml:space="preserve">The function crossSwapTokensForExactTokens does not check if the provided input tokens and output tokens are the same. Swapping the same tokens may lead to an unexpected behavior and loss of funds due to fees.</t>
  </si>
  <si>
    <t xml:space="preserve">grantFunds</t>
  </si>
  <si>
    <t xml:space="preserve">Unexpected environment or contract conditions</t>
  </si>
  <si>
    <t xml:space="preserve">In the grantFunds function, the check for the maximum grant amount is based on the current balance of USDV tokens in the VAULT. If there is a sudden change in the USDV balance, either due to transfers or due to price fluctuations, the amount granted could be unexpectedly high or low. A more robust mechanism should be implemented to calculate the maximum grant amount.</t>
  </si>
  <si>
    <t xml:space="preserve">cancelProposal</t>
  </si>
  <si>
    <t xml:space="preserve">The cancelProposal function allows a minority to cancel a proposal that is currently in the finalizing stage. However, there is no validation to check whether the newProposalID provided is actually a valid and existing proposal. This may lead to unexpected behavior where an invalid newProposalID is provided, which doesn't serve the intended purpose of the cancelProposal function. A check should be added to verify if the newProposalID is valid.</t>
  </si>
  <si>
    <t xml:space="preserve">finaliseProposal</t>
  </si>
  <si>
    <t xml:space="preserve">In the finaliseProposal function, if the proposal no longer has a quorum at the time of the finalization, it is allowed to be finalized again by calling _finalise(proposalID). This behavior could lead to a proposal being stuck in the finalizing state indefinitely and never actually being completed. To fix this issue, the finaliseProposal function should handle cases where a proposal loses quorum, either by canceling the proposal or by implementing a mechanism to handle such scenarios gracefully.</t>
  </si>
  <si>
    <t xml:space="preserve">The init function can only be called once, as it sets the inited variable to true after the first call. However, if there is a need to update the VADER, USDV, or VAULT addresses in the future, there is no way to do so in the current implementation. A function should be provided to update the contract addresses after proper validation (e.g., through a proposal and voting mechanism) to ensure the contract is flexible and can adapt to future changes.</t>
  </si>
  <si>
    <t xml:space="preserve">The `init` function sets multiple variables, but it is not atomic. If any operation fails after some variables are already set, the contract's state will be left inconsistent. It is recommended to use an atomic operation, like OpenZeppelin's `initializer` modifier, to ensure consistent state initialization.</t>
  </si>
  <si>
    <t xml:space="preserve">The `harvest` function doesn't validate whether the input `synth` address is actually a valid synth contract. The function may behave unexpectedly if the input `synth` is not a valid synth contract. It is recommended to check if the input synth address is in the list of registered synths.</t>
  </si>
  <si>
    <t xml:space="preserve">_deposit</t>
  </si>
  <si>
    <t xml:space="preserve">In the `_deposit` function, the calculation of `_weight` is dependent on the price fetched from external contracts like `iUTILS` or `iROUTER`. If these external contracts return unexpected values, the calculated `_weight` may be incorrect. It is recommended to handle such scenarios, for example, by checking the returned values from these contracts for validity.</t>
  </si>
  <si>
    <t xml:space="preserve">setParams</t>
  </si>
  <si>
    <t xml:space="preserve">The `setParams` function doesn't validate the input parameters (newEra, newDepositTime, newGrantTime) for their validity, allowing for potentially unintended values. It is recommended to validate the input parameters to ensure they are within acceptable ranges.</t>
  </si>
  <si>
    <t xml:space="preserve">calcCurrentReward</t>
  </si>
  <si>
    <t xml:space="preserve">The `calcCurrentReward` function calculates the reward based on the reserve of `USDV` or `VADER`. However, if there is any slippage or the reserve becomes outdated, the calculated reward may be incorrect. It is recommended to handle such scenarios, for example, by checking the reserve value's validity and updating it accordingly.</t>
  </si>
  <si>
    <t xml:space="preserve">In the grantFunds function, there is a check to ensure that the grant amount requested is not more than 10% of the USDV balance in the VAULT. However, this check is susceptible to potential changes in the USDV balance that may occur between the time the proposal is made and the time it is executed. If the balance decreases due to external factors, the check may fail, and the proposal may not be executed as intended.</t>
  </si>
  <si>
    <t xml:space="preserve">The cancelProposal function allows for the cancelation of an existing proposal when a new proposal is created with a minority of votes. However, the function does not ensure that the new proposal has the same or higher number of votes than the old one, allowing for potential manipulation of the voting process. Moreover, the votes for the old proposal are set to 0 without any checks, which may lead to incorrect vote counts in the future.</t>
  </si>
  <si>
    <t xml:space="preserve">The cancelProposal function allows a minority to cancel an existing proposal during the finalizing stage, but it doesn't properly revert the state of the old proposal. The votes of the old proposal are set to 0, but other related mappings and states are left unchanged. An attacker can potentially exploit this by calling cancelProposal repeatedly, manipulating the state of the contract.</t>
  </si>
  <si>
    <t xml:space="preserve">The init function is missing a mechanism to prevent multiple initializations. While the contract sets the `inited` variable to true, it doesn't check if the variable is already true when the function is called. Multiple initializations can lead to unintended contract behavior, such as changing the contract's essential parameters, like VADER, USDV, ROUTER, FACTORY, and POOLS, and manipulating their values.</t>
  </si>
  <si>
    <t xml:space="preserve">depositForMember</t>
  </si>
  <si>
    <t xml:space="preserve">The depositForMember function accepts any synth address as long as it is a Synth. However, there is no validation to check whether the provided `amount` is greater than 0. If a user deposits with an `amount` of 0, the function will still execute and emit the `MemberDeposits` event, leading to incorrect and misleading event data.</t>
  </si>
  <si>
    <t xml:space="preserve">In the calcCurrentReward function, if the calculated reward is greater than or equal to the reserve (either reserveUSDV or reserveVADER), the reward is set to the reserve's full amount. This condition might lead to a situation where the contract's entire reserve is depleted by a single member's harvest, potentially affecting other members' ability to harvest or withdraw their funds.</t>
  </si>
  <si>
    <t xml:space="preserve">8_2</t>
  </si>
  <si>
    <t xml:space="preserve">updatePoolForVault</t>
  </si>
  <si>
    <t xml:space="preserve">In the function updatePoolForVault, it updates the staking pool for the given vaultId by calling stakingTokenProvider.stakingTokenForVaultToken(pool.rewardToken). This function could potentially return unexpected staking tokens if the stakingTokenProvider contract is compromised or if the staking token mapping for the given reward token is not properly set. To mitigate this risk, ensure proper access control and validation in the stakingTokenProvider contract.</t>
  </si>
  <si>
    <t xml:space="preserve">receiveRewards</t>
  </si>
  <si>
    <t xml:space="preserve">The receiveRewards function transfers rewards from the caller to the rewardDistToken contract and then distributes the rewards. However, the function doesn't check if the reward token's transferFrom function is successful. If the transfer fails (e.g., due to insufficient allowance or balance), the contract will continue to distribute the rewards, which can lead to incorrect reward distribution. To fix this issue, check the return value of the transferFrom function and revert the transaction if it returns false.</t>
  </si>
  <si>
    <t xml:space="preserve">The deposit function transfers the staking tokens from the sender to the contract and mints reward distribution tokens. However, it doesn't check if the staking token's transferFrom function is successful. If the transfer fails (e.g., due to insufficient allowance or balance), the contract will continue to mint the reward distribution tokens, leading to incorrect token supply. To fix this issue, check the return value of the transferFrom function and revert the transaction if it returns false.</t>
  </si>
  <si>
    <t xml:space="preserve">10_1</t>
  </si>
  <si>
    <t xml:space="preserve">The 'transferERC20' function is vulnerable to unexpected function invocation arguments, as it does not validate if the 'to' address is a non-zero address. This could lead to accidental loss of tokens if the 'to' address is set to the zero address (0x0).</t>
  </si>
  <si>
    <t xml:space="preserve">transferETH</t>
  </si>
  <si>
    <t xml:space="preserve">The 'transferETH' function is also vulnerable to unexpected function invocation arguments, as it does not validate if the 'to' address is a non-zero address. This could lead to accidental loss of Ether if the 'to' address is set to the zero address (0x0).</t>
  </si>
  <si>
    <t xml:space="preserve">lock, unlock, transferERC20</t>
  </si>
  <si>
    <t xml:space="preserve">The 'lock', 'unlock', and 'transferERC20' functions are vulnerable to business-flow atomicity violations due to the lack of reentrancy protection. A reentrant call to these functions could lead to unexpected behavior, such as incorrect balances or locks being modified.</t>
  </si>
  <si>
    <t xml:space="preserve">timeLockERC721, timeUnlockERC721</t>
  </si>
  <si>
    <t xml:space="preserve">The 'timeLockERC721' and 'timeUnlockERC721' functions do not check if the NFT contract address is a valid ERC721 contract. This could lead to unexpected behavior if the provided NFT contract address does not implement the required ERC721 interface or if it is a malicious contract.</t>
  </si>
  <si>
    <t xml:space="preserve">12_1</t>
  </si>
  <si>
    <t xml:space="preserve">pour</t>
  </si>
  <si>
    <t xml:space="preserve">The 'pour' function modifies the vault's collateral and debt amounts without considering the possibility of a revert due to an undercollateralized vault. If a revert occurs, the collateral and debt values will not be in sync, and this may lead to an incorrect state.</t>
  </si>
  <si>
    <t xml:space="preserve">build</t>
  </si>
  <si>
    <t xml:space="preserve">The 'build' function accepts any address as the owner of a vault without validating whether the address is a valid contract or externally owned account. This may lead to unexpected behavior if the vault is owned by an invalid address.</t>
  </si>
  <si>
    <t xml:space="preserve">_mature</t>
  </si>
  <si>
    <t xml:space="preserve">The '_mature' function relies on the rateOracle to return an accurate rateAtMaturity value. However, the rateOracle is an external contract, which may return outdated or incorrect data. This could lead to incorrect interest rate calculations and affect the overall functioning of the smart contract.</t>
  </si>
  <si>
    <t xml:space="preserve">12_2</t>
  </si>
  <si>
    <t xml:space="preserve">pour, slurp</t>
  </si>
  <si>
    <t xml:space="preserve">In the 'pour' and 'slurp' functions, the '_pour' function is called to update the balances, and then the collateralization level is checked. This allows for the possibility of temporary atomicity violations, where the vault's collateralization level is not maintained throughout the entire operation.</t>
  </si>
  <si>
    <t xml:space="preserve">mature</t>
  </si>
  <si>
    <t xml:space="preserve">The 'grab' function locks a vault if it is undercollateralized, but it does not check for ChainLink oracles returning outdated data or slippage occurring during asset price fetching. If an oracle returns outdated or incorrect data, this could lead to an incorrect vault lock.</t>
  </si>
  <si>
    <t xml:space="preserve">batch</t>
  </si>
  <si>
    <t xml:space="preserve">The batch function is vulnerable to a re-entrancy attack because it allows external contract calls through the `Operation.MODULE` operation type. An attacker could craft a malicious contract to call the `batch` function again before the initial call has completed, potentially causing undesired side effects or manipulation of the state.</t>
  </si>
  <si>
    <t xml:space="preserve">setModule, setFee</t>
  </si>
  <si>
    <t xml:space="preserve">Centralization of control</t>
  </si>
  <si>
    <t xml:space="preserve">The setModule and setFee functions are only accessible by the `auth` modifier, which allows only authorized users to change the state of the contract. This centralizes control over the contract and introduces a point of failure. If the owner's private key is compromised, an attacker could take control over the contract, potentially causing undesired side effects or manipulation of the state.</t>
  </si>
  <si>
    <t xml:space="preserve">12_3</t>
  </si>
  <si>
    <t xml:space="preserve">stir</t>
  </si>
  <si>
    <t xml:space="preserve">The 'stir' function transfers collateral and debt between two vaults without ensuring atomicity. If the function call fails in the middle, it may result in an inconsistent state. To fix this issue, consider using a more atomic approach, such as using a temporary variable to store the new state and updating the state in a single step.</t>
  </si>
  <si>
    <t xml:space="preserve">The 'pour' function allows the caller to modify the collateral and debt in a vault. However, the function does not validate the caller's identity, allowing anyone with access to the function to call it with arbitrary arguments. To fix this issue, consider adding an access control mechanism (e.g., onlyOwner, or a specific role) to restrict the callers who can invoke the function.</t>
  </si>
  <si>
    <t xml:space="preserve">The `batch` function in the Ladle contract is designed to execute a batch of operations atomically. However, it calls external contracts (including `moduleCall` and some others) which could potentially be malicious. A malicious contract can call back into the `batch` function, causing unexpected behavior and a reentrancy attack. To mitigate this issue, consider using the Checks-Effects-Interactions pattern and adding a reentrancy guard.</t>
  </si>
  <si>
    <t xml:space="preserve">The 'liquidate' function accepts an int256 'amount' as one of its arguments. However, it does not check if the given amount is a positive number or not. This may lead to incorrect behavior if a negative value is passed.</t>
  </si>
  <si>
    <t xml:space="preserve">verifyAndSubmitLiquidation</t>
  </si>
  <si>
    <t xml:space="preserve">The 'verifyAndSubmitLiquidation' function checks if the gas price of the transaction (tx.gasprice) is less than or equal to the fast gas oracle's latest answer (IOracle(fastGasOracle).latestAnswer()). This may result in a potential issue if the fast gas oracle returns outdated data, as it could lead to liquidations being executed with an incorrect gas price.</t>
  </si>
  <si>
    <t xml:space="preserve">The `fulfill` function is supposed to execute the call data, transfer the receiving asset to the recipient, and then handle the relayer fee. However, the current implementation has multiple separate transfer calls, which can lead to partial execution. For example, if the relayer fee is transferred successfully, but the transfer of the receiving asset fails, the transaction will still be marked as fulfilled, causing potential loss of funds.</t>
  </si>
  <si>
    <t xml:space="preserve">The `fulfill` function uses the `IFulfillHelper(txData.callTo).execute()` function to execute the call data. However, there is no validation on the `txData.callTo` address. This may lead to unintended execution of functions if a malicious user passes an unexpected address as `txData.callTo`.</t>
  </si>
  <si>
    <t xml:space="preserve">In the `prepare` function, there is a check for the expiry timestamp</t>
  </si>
  <si>
    <t xml:space="preserve">nTokenTransferApproveAll</t>
  </si>
  <si>
    <t xml:space="preserve">The nTokenTransferApproveAll function allows the caller to approve all nToken transfers to a specific spender. This might be a potential vulnerability as it simplifies the UX for users to approve token transfers to an external exchange or protocol in a single transaction. An attacker might be able to exploit this function by tricking users into approving unlimited transfers to their address, giving them the ability to drain funds.</t>
  </si>
  <si>
    <t xml:space="preserve">The _transfer function internally claims incentives while transferring tokens. If there are any issues with the incentives calculation or distribution, it might lead to unexpected results during token transfers. For example, if there's a bug in the incentives calculation or an external oracle providing outdated data, the function may distribute incorrect incentives, resulting in imbalances or incorrect token distribution.</t>
  </si>
  <si>
    <t xml:space="preserve">nTokenTransfer</t>
  </si>
  <si>
    <t xml:space="preserve">In the nTokenTransfer function, there is no input validation to check whether the 'amount' parameter is a positive value. This can lead to unexpected behavior when transferring tokens. It is recommended to add a require statement to ensure the 'amount' is positive.</t>
  </si>
  <si>
    <t xml:space="preserve">nTokenTransfer, nTokenTransferFrom</t>
  </si>
  <si>
    <t xml:space="preserve">The nTokenTransfer and nTokenTransferFrom functions claim incentives for both the sender and the recipient during token transfers. However, these functions do not implement atomic operations, which means that if one part of the transaction fails, the entire transaction will not revert. It is recommended to use a pattern like the 'Checks-Effects-Interactions' pattern to ensure proper atomicity.</t>
  </si>
  <si>
    <t xml:space="preserve">nTokenTransferFrom</t>
  </si>
  <si>
    <t xml:space="preserve">In the nTokenTransferFrom function, there is no input validation to check whether the 'amount' parameter is a positive value. Similar to the nTokenTransfer function, this can lead to unexpected behavior when transferring tokens. It is recommended to add a require statement to ensure the 'amount' is positive.</t>
  </si>
  <si>
    <t xml:space="preserve">The functions `supplyTokenTo` and `redeemToken` are not atomic, as they consist of multiple actions like transferring tokens and minting/burning shares. Since they use `nonReentrant` modifier, reentrancy attacks are mitigated. However, in case of external contract calls or network congestion, business-flow atomicity violation might occur.</t>
  </si>
  <si>
    <t xml:space="preserve">setYieldSource</t>
  </si>
  <si>
    <t xml:space="preserve">The setYieldSource function can be called by the owner or asset manager, but it does not check whether the yield source being set is valid. This can result in a broken contract if the yield source is outdated or incorrect.</t>
  </si>
  <si>
    <t xml:space="preserve">transferFunds</t>
  </si>
  <si>
    <t xml:space="preserve">The transferFunds function can be called by the owner or asset manager to transfer funds from one yield source to another. However, this function does not guarantee atomicity between redeeming tokens from the old yield source and supplying tokens to the new yield source. If the transaction fails between these two operations, funds may be lost or locked in the contract. It would be better to ensure atomicity by using a single transaction for both redeeming and supplying tokens.</t>
  </si>
  <si>
    <t xml:space="preserve">28_1</t>
  </si>
  <si>
    <t xml:space="preserve">commitEth</t>
  </si>
  <si>
    <t xml:space="preserve">The function 'commitEth' is marked as nonReentrant, but it has a potential reentrancy issue. The function transfers ether back to the beneficiary before updating the commitmentsTotal. An attacker could potentially exploit this by calling the function again before the commitmentsTotal is updated, allowing them to commit more than they should be able to.</t>
  </si>
  <si>
    <t xml:space="preserve">withdrawTokens</t>
  </si>
  <si>
    <t xml:space="preserve">The function 'withdrawTokens' is marked as nonReentrant, but it has a potential reentrancy issue. The function transfers tokens to the beneficiary before updating the claimed mapping. An attacker could potentially exploit this by calling the function again before the claimed mapping is updated, allowing them to withdraw more tokens than they should be able to.</t>
  </si>
  <si>
    <t xml:space="preserve">finalize</t>
  </si>
  <si>
    <t xml:space="preserve">The 'finalize' function can be called by anyone with admin role, the wallet, or a smart contract role, or if the finalize time has expired. This allows multiple parties to potentially finalize the auction, which might not be desired. A more strict access control mechanism should be implemented to ensure that only the intended party is able to finalize the auction.</t>
  </si>
  <si>
    <t xml:space="preserve">28_2</t>
  </si>
  <si>
    <t xml:space="preserve">initCrowdsale</t>
  </si>
  <si>
    <t xml:space="preserve">The function initCrowdsale is public and can be called by anyone. This can lead to potential misuse or unintended behavior. The function should be either internal or have proper access control checks to prevent misuse.</t>
  </si>
  <si>
    <t xml:space="preserve">depositETH</t>
  </si>
  <si>
    <t xml:space="preserve">The depositETH() function checks if the token1 or token2 is WETH (wrapped Ether) before allowing the deposit of Ether. However, it is possible that the ChainLink returns outdated data, and the deposited Ether amount is not accurately represented in the WETH token. This can lead to incorrect token amounts being used during liquidity pool creation.</t>
  </si>
  <si>
    <t xml:space="preserve">initAuctionLauncher</t>
  </si>
  <si>
    <t xml:space="preserve">The initAuctionLauncher function takes the _locktime parameter as input, and then it checks if the _locktime is less than 10000000000. This assumes that the user is entering an Unix timestamp in seconds, not milliseconds. If the user mistakenly inputs a timestamp in milliseconds, it will not be properly handled, which can lead to incorrect liquidity lock durations.</t>
  </si>
  <si>
    <t xml:space="preserve">The finalize() function is responsible for adding liquidity to the Uniswap pool after the auction is finalized. The function is not atomic, meaning that it can be called multiple times before the liquidity is added to the pool. This can result in an incorrect state of the contract, and it may lead to multiple finalize() calls and incorrect liquidity values.</t>
  </si>
  <si>
    <t xml:space="preserve">withdrawLPTokens, withdrawDeposits</t>
  </si>
  <si>
    <t xml:space="preserve">The withdrawLPTokens() and withdrawDeposits() functions can only be called by an admin or operator role. However, there is no restriction on the sequence in which these functions can be called. This can lead to unexpected outcomes if the admin or operator calls the functions in an incorrect order, or before the finalize() function has been called.</t>
  </si>
  <si>
    <t xml:space="preserve">cancelLauncher</t>
  </si>
  <si>
    <t xml:space="preserve">The cancelLauncher() function allows an admin to cancel the launcher, marking it as launched without actually adding liquidity to the pool. This can result in the contract being in an inconsistent state, as it appears launched without actually having gone through the necessary steps. It may also cause issues for users who interacted with the launcher before it was canceled.</t>
  </si>
  <si>
    <t xml:space="preserve">28_3</t>
  </si>
  <si>
    <t xml:space="preserve">The depositETH function assumes that the smart contract accepts ETH only if token1 or token2 is WETH. However, it is possible for the contract to accept ETH when both tokens are not WETH. This can happen if the paymentCurrency in the market is ETH_ADDRESS, but the auctionToken is not WETH.</t>
  </si>
  <si>
    <t xml:space="preserve">The finalize function can be called multiple times, causing the liquidity to be added multiple times. The launcherInfo.launched variable is set to true after the liquidity is added, but it should be set before to prevent multiple calls to finalize.</t>
  </si>
  <si>
    <t xml:space="preserve">addNotional, removeNotional, transferNotionalFrom, transferNotionalFee</t>
  </si>
  <si>
    <t xml:space="preserve">The functions addNotional, removeNotional, transferNotionalFrom, and transferNotionalFee can only be called by the `admin`. This might create a single point of failure or trust issues, as the admin could potentially manipulate the vaults of other users without their consent.</t>
  </si>
  <si>
    <t xml:space="preserve">matureVault</t>
  </si>
  <si>
    <t xml:space="preserve">The matureVault function is called to set the maturityRate and mark the vault as matured. However, it relies on the `block.timestamp`, which can be manipulated by miners within a certain range (± 15 seconds). This manipulation can potentially affect the maturity rate calculation and have unexpected consequences for the vault's interest calculations.</t>
  </si>
  <si>
    <t xml:space="preserve">The functions addNotional, removeNotional, transferNotionalFrom, and transferNotionalFee all rely on the external call to `CErc20(cTokenAddr).exchangeRateCurrent()` which can potentially return outdated data or be affected by temporary market fluctuations. This might lead to inaccuracies in the interest calculations and have unexpected consequences for the users' vaults.</t>
  </si>
  <si>
    <t xml:space="preserve">39_3</t>
  </si>
  <si>
    <t xml:space="preserve">transferNotionalFrom</t>
  </si>
  <si>
    <t xml:space="preserve">In the `transferNotionalFrom` function, the notional is transferred from one address to another, and the interests of both vaults are updated. However, there is no atomicity guarantee to ensure that either both transfers and interest updates are successful or none at all. If an unexpected error or revert occurs during this process, the contract might end up in an inconsistent state.</t>
  </si>
  <si>
    <t xml:space="preserve">In the `matureVault` function, the contract relies on `block.timestamp` to determine if the maturity has been reached. Miners can manipulate the `block.timestamp` within a certain range, potentially causing the vault to mature earlier or later than intended. However, this manipulation is limited, and the impact on the contract might be minimal.</t>
  </si>
  <si>
    <t xml:space="preserve">lock</t>
  </si>
  <si>
    <t xml:space="preserve">The 'lock' function doesn't validate if the input '_amount' is less than or equal to the vested amount for the user. A user can potentially call this function with any amount and cause unexpected behavior in the contract.</t>
  </si>
  <si>
    <t xml:space="preserve">The 'claim' function first transfers the claimable Mochi to the user and then subtracts the claimable amount from 'mochiUnderManagement'. If there is an issue during the transfer, the 'mochiUnderManagement' value will not be updated. To avoid this, the 'mochiUnderManagement' should be updated before the transfer occurs.</t>
  </si>
  <si>
    <t xml:space="preserve">forceClaim</t>
  </si>
  <si>
    <t xml:space="preserve">The 'forceClaim' function transfers half of the '_amount' to the user and the other half to the 'vMochi' address, then it updates the 'vesting[msg.sender].vested' and 'mochiUnderManagement' values. Similar to the 'claim' function, if there is an issue during one of the transfers, the contract state will not be updated correctly. To avoid this, update the contract state before performing the transfers.</t>
  </si>
  <si>
    <t xml:space="preserve">There is no access control for the `vest` function, which allows anyone to call the function and change the vesting details for a given recipient. This can be exploited by malicious actors to manipulate the vesting details of other users.</t>
  </si>
  <si>
    <t xml:space="preserve">The function `lock` uses the condition `if (end &gt;= block.timestamp + 90 days)` to check if the locking period is longer than 90 days. However, this may result in an unexpected behavior if the `end` value is very close to the maximum possible value for `uint256` (overflow risk). This could result in a condition where the lock is not properly applied.</t>
  </si>
  <si>
    <t xml:space="preserve">The `forceClaim` function transfers half of the `_amount` to the `msg.sender` and the other half to the `vMochi` address. However, there is no check to ensure that the contract has enough balance to perform these transfers. This could lead to partial execution and incorrect state updates in case of insufficient balance.</t>
  </si>
  <si>
    <t xml:space="preserve">The `transfer` and `transferFrom` functions in the WrappedIbbtc contract use the `amount` argument, which represents the token amount in wibBTC, to calculate the corresponding ibBTC shares (`amountInShares`). However, the functions should also check whether the input `amount` is non-zero to prevent zero-value transfers. A zero-value transfer could lead to unexpected behavior for other contracts interacting with this contract.</t>
  </si>
  <si>
    <t xml:space="preserve">In the `mint` and `burn` functions, there is no check on whether the ICoreOracle is returning the correct and up-to-date price per share for wibBTC. This could lead to users minting or burning wrong amounts of wibBTC if the oracle is returning outdated data or if the oracle gets manipulated by an attacker. One possible mitigation is to include sanity checks on the price per share data returned by the oracle, such as checking if the price is within a reasonable range or has not changed significantly in a short period.</t>
  </si>
  <si>
    <t xml:space="preserve">The `transfer` and `transferFrom` functions in the WrappedIbbtcEth contract use the `amount` argument, which represents the token amount in wibBTC, to calculate the corresponding ibBTC shares (`amountInShares`). However, the functions should also check whether the input `amount` is non-zero to prevent zero-value transfers. A zero-value transfer could lead to unexpected behavior for other contracts interacting with this contract.</t>
  </si>
  <si>
    <t xml:space="preserve">The `updatePricePerShare` function updates the cached `pricePerShare` and `lastPricePerShareUpdate` values. However, there is no limitation on how frequently this function can be called, which could lead to unnecessary gas consumption if called too often. To mitigate this issue, a minimum time interval between updates can be enforced. Additionally, there are no sanity checks on the price per share data returned by the `core` contract. It's recommended to include sanity checks, such as checking if the price is within a reasonable range or has not changed significantly in a short period.</t>
  </si>
  <si>
    <t xml:space="preserve">The `transfer` and `transferFrom` functions expect the input `amount` to be in wibBTC, but it's not clear if the users are aware of this. Since the functions internally convert the amount to ibBTC shares, users might accidentally transfer the wrong amount of tokens. It would be better to have a clear documentation or a separate function for transferring in terms of shares.</t>
  </si>
  <si>
    <t xml:space="preserve">The `mint` and `burn` functions do not use the `nonReentrant` modifier, which might expose the contract to reentrancy attacks. If a malicious token contract is used, it could call the `mint` or `burn` functions recursively during the execution of `ibbtc.transferFrom` or `ibbtc.transfer`, causing unexpected behavior or loss of funds.</t>
  </si>
  <si>
    <t xml:space="preserve">pricePerShare</t>
  </si>
  <si>
    <t xml:space="preserve">The `pricePerShare` function relies on the external `oracle` contract to return the current price per share. If the oracle provides outdated or incorrect data, it might cause the `WrappedIbbtc` contract to operate with incorrect values, leading to potential loss of funds or incorrect token balances. It is essential to ensure the oracle provides accurate and up-to-date data.</t>
  </si>
  <si>
    <t xml:space="preserve">The `transfer` and `transferFrom` functions expect the input `amount` to be in wibBTC, but it's not clear if the users are aware of this. Since the functions internally convert the amount to ibBTC shares, users might accidentally transfer the wrong amount of tokens. It would be better to have clear documentation or a separate function for transferring in terms of shares.</t>
  </si>
  <si>
    <t xml:space="preserve">The `updatePricePerShare` function relies on the external `core` contract to return the current price per share. If the `core` contract provides outdated or incorrect data, it might cause the `WrappedIbbtcEth` contract to operate with incorrect values, leading to potential loss of funds or incorrect token balances. It is essential to ensure the `core` contract provides accurate and up-to-date data.</t>
  </si>
  <si>
    <t xml:space="preserve">setCore</t>
  </si>
  <si>
    <t xml:space="preserve">The function setCore allows the change of the core contract address. The comment in the code states that this function should be run atomically with setCore() on ibBTC if that eventuality ever arises. However, there is no guarantee that they will run atomically, which could lead to inconsistencies.</t>
  </si>
  <si>
    <t xml:space="preserve">The updatePricePerShare function is permissionless and can be called by anyone. It updates the pricePerShare from the core contract and sets the lastPricePerShareUpdate timestamp to now. It can be called at any frequency by any external actor, which could result in outdated prices if not updated as needed, or spamming if called too frequently. Moreover, there is no upper limit on the time between updates.</t>
  </si>
  <si>
    <t xml:space="preserve">The updatePricePerShare function relies on the core contract to provide the current price per share. If the core contract is compromised or provides outdated data, the WrappedIbbtcEth contract will also have incorrect price data. It's important to ensure the core contract returns up-to-date and accurate data.</t>
  </si>
  <si>
    <t xml:space="preserve">The mint and burn functions assume that the transfer of ibBTC tokens will always be successful. In case of any unexpected conditions like token allowance issues or slippage, the functions may not work as expected. Using SafeERC20 library functions like safeTransferFrom and safeTransfer could help mitigate potential issues.</t>
  </si>
  <si>
    <t xml:space="preserve">The pricePerShare function relies on the oracle contract to provide the current price per share. If the oracle contract is compromised or provides outdated data, the WrappedIbbtc contract will also have incorrect price data. It's important to ensure the oracle contract returns up-to-date and accurate data.</t>
  </si>
  <si>
    <t xml:space="preserve">airdropTokens</t>
  </si>
  <si>
    <t xml:space="preserve">The function airdropTokens() iterates through the array of addresses (airdropArray) and sends tokens to each address. If the contract runs out of gas or encounters an error during the airdrop, some addresses may not receive tokens, resulting in an incomplete token distribution. A better approach would be to split the airdrop into smaller batches, allowing users to trigger the function and distribute tokens for a specific range of addresses.</t>
  </si>
  <si>
    <t xml:space="preserve">distributeTokens</t>
  </si>
  <si>
    <t xml:space="preserve">The AirdropDistribution contract lacks a distributeTokens function that would allow the owner to distribute tokens to the airdropArray of addresses. As a result, the contract does not provide atomicity in distributing tokens, leaving the possibility that some recipients may not receive their tokens, or the token distribution could be interrupted or manipulated.</t>
  </si>
  <si>
    <t xml:space="preserve">The function `swap` is overloaded with two different versions. One of them takes a calldata parameter, which is not used inside the function. This might lead to unexpected behavior when calling the function with calldata.</t>
  </si>
  <si>
    <t xml:space="preserve">mint, _burn, swap</t>
  </si>
  <si>
    <t xml:space="preserve">The contract lacks proper input validation checks in the `mint`, `_burn`, and `swap` functions. This might result in incorrect calculations or unintended side effects during execution.</t>
  </si>
  <si>
    <t xml:space="preserve">The `_update` function uses unchecked arithmetic when calculating the `timeElapsed`, which can lead to potential integer overflows or underflows. If the `block.timestamp` is somehow manipulated or if the reserve values are manipulated, this could lead to miscalculations.</t>
  </si>
  <si>
    <t xml:space="preserve">getReserves</t>
  </si>
  <si>
    <t xml:space="preserve">The `getReserves` function exposes the internal state of the contract, which could lead to potential security risks. An attacker can read the reserves and potentially manipulate other contract functions that rely on these values.</t>
  </si>
  <si>
    <t xml:space="preserve">enter</t>
  </si>
  <si>
    <t xml:space="preserve">In the `enter` function, the `_amount` parameter could be zero, which may not be intended. It might be useful to add a require statement to ensure that the input amount is greater than zero.</t>
  </si>
  <si>
    <t xml:space="preserve">leave</t>
  </si>
  <si>
    <t xml:space="preserve">In the `leave` function, the `_shares` parameter could be zero, which may not be intended. It might be useful to add a require statement to ensure that the input shares are greater than zero.</t>
  </si>
  <si>
    <t xml:space="preserve">The `mint` function does not consider the possibility of slippage occurring during the minting process. Slippage can occur when there is a significant difference in the price of the assets in the pool. The contract does not have a mechanism to control slippage, which might lead to users getting fewer tokens than expected.</t>
  </si>
  <si>
    <t xml:space="preserve">The `swap` function allows users to swap tokens in the pool. However, it does not have any input validation for the `to` address parameter. This lack of validation means that a user can accidentally or maliciously provide an invalid address (e.g., zero address or the contract's own address), resulting in a potential loss of funds.</t>
  </si>
  <si>
    <t xml:space="preserve">update</t>
  </si>
  <si>
    <t xml:space="preserve">In the `update` function, the average prices for all token pairs are updated without any restrictions on who can call this function. This can lead to potential manipulation of the oracle's average prices by repeatedly calling the function. It would be better to restrict access to this function using a modifier, like `onlyOwner`.</t>
  </si>
  <si>
    <t xml:space="preserve">In the `registerPair` function, there is no check for whether `factory` is a zero address or not. This could lead to unexpected behavior if a zero address is provided as the factory argument. It is recommended to add a check for the factory address to ensure it is not a zero address.</t>
  </si>
  <si>
    <t xml:space="preserve">In the `consult` function, the Chainlink aggregator is used to fetch the latest round data without checking whether the data is outdated or not. To ensure the oracle doesn't return outdated data, it would be recommended to add a check to ensure the data returned by the aggregator is recent enough, for example by comparing its timestamp to the current block's timestamp with an acceptable tolerance.</t>
  </si>
  <si>
    <t xml:space="preserve">In the `registerPair` function, the provided token0 and token1 are not checked if they are valid ERC20 tokens or not. The contract assumes the provided tokens are ERC20 compliant. It is recommended to add a check to ensure both token0 and token1 are valid ERC20 tokens before proceeding with the registration process.</t>
  </si>
  <si>
    <t xml:space="preserve">The `enter` function calculates the amount of xVADER to be minted based on the totalVader and totalShares. However, it does not account for potential slippage in the price of VADER tokens, which could occur if the price of VADER changes rapidly. This could lead to imprecise calculations of xVADER minted and cause users to receive an incorrect amount of xVADER tokens.</t>
  </si>
  <si>
    <t xml:space="preserve">The `swap` function allows users to provide either `nativeAmountIn` or `foreignAmountIn` to perform a swap. However, there is no check to ensure that both arguments are not greater than zero simultaneously. As a result, a user can perform a swap by providing both `nativeAmountIn` and `foreignAmountIn` greater than zero, which can lead to undesired behavior.</t>
  </si>
  <si>
    <t xml:space="preserve">The `mint` function is not atomic in its execution, which means that if a user calls this function and the transaction fails due to any reason, the system's state may be left in an inconsistent state. In this case, if the `mint` function call fails after updating the `totalSupply`, the total supply would not correctly reflect the actual total supply in the system.</t>
  </si>
  <si>
    <t xml:space="preserve">The `_burn` function retrieves the balances of `nativeAsset` and `foreignAsset` before transferring the assets to the user. However, the balances are not checked again after the transfers, which can lead to an unexpected environment or contract conditions if the transfers fail or if there's a change in the balances between these two steps.</t>
  </si>
  <si>
    <t xml:space="preserve">purchase</t>
  </si>
  <si>
    <t xml:space="preserve">The 'purchase' function is vulnerable to front-running attacks. An attacker can observe pending transactions and potentially insert their transaction with higher gas fees to manipulate the state of the contract before the victim's transaction is processed. This can affect the purchase price of the tokens if the attacker modifies the 'keyPrice' before the victim's transaction is processed. To mitigate this, a commit-reveal scheme can be implemented to prevent front-running.</t>
  </si>
  <si>
    <t xml:space="preserve">The smart contract is dependent on external contract calls, such as the Unlock Protocol for computing discounts and the OnKeyPurchaseHook for modifying the purchase price. The behavior of these external contracts is not guaranteed, and they may return outdated data or introduce other unexpected conditions. It is essential to ensure the trustworthiness of the external contracts and monitor their updates regularly.</t>
  </si>
  <si>
    <t xml:space="preserve">The `shareKey` function allows a user to share their key with another user by transferring a portion of the remaining time to a new key. However, it does not check if the `_timeShared` parameter is a valid value (e.g., non-negative). A user could potentially provide a large value, causing the new key to have an unexpectedly large expiration timestamp.</t>
  </si>
  <si>
    <t xml:space="preserve">In the `transferFrom` function, the key transfer process consists of several steps like updating the expiration timestamp, tokenId, and recording the new owner. However, there is no atomicity guarantee for these operations. If the contract execution fails during any of these steps (e.g., due to an out-of-gas exception), the contract state may be left in an inconsistent state with mismatched tokenId and expiration timestamps.</t>
  </si>
  <si>
    <t xml:space="preserve">The `getTransferFee` function calculates the transfer fee based on the remaining time of the key and the `transferFeeBasisPoints`. However, if the `transferFeeBasisPoints` is updated by the lock manager during a transfer operation, it could cause inconsistencies in the fee calculation. The fee charged to the user might be different from the expected fee when the transfer was initiated.</t>
  </si>
  <si>
    <t xml:space="preserve">In the purchase function, there is a check to ensure that the price paid by the user is greater than or equal to the minimum price (`require(pricePaid &gt;= inMemoryKeyPrice, 'INSUFFICIENT_VALUE');`). However, the function does not validate the input parameters, such as `_value`, `_recipient`, and `_referrer`. A malicious actor could exploit these unchecked parameters to cause unexpected behavior.</t>
  </si>
  <si>
    <t xml:space="preserve">The contract relies on external calls to `unlockProtocol.recordConsumedDiscount(discount, tokens);`, `unlockProtocol.recordKeyPurchase(inMemoryKeyPrice, _referrer);`, and `onKeyPurchaseHook.onKeyPurchase(msg.sender, _recipient, _referrer, _data, inMemoryKeyPrice, pricePaid);`. This introduces potential risks related to reentrancy and the execution of malicious code from external contracts.</t>
  </si>
  <si>
    <t xml:space="preserve">The purchase function updates the `toKey.expirationTimestamp` and emits events before transferring tokens or making external calls. A malicious contract could potentially call the purchase function in a specific sequence or frequency to manipulate the `expirationTimestamp` and related events without actually completing a valid purchase. Reordering the function execution to ensure proper transfer and external calls before updating the timestamp and emitting events can mitigate this risk.</t>
  </si>
  <si>
    <t xml:space="preserve">cancelAndRefund</t>
  </si>
  <si>
    <t xml:space="preserve">In the cancelAndRefund function, the _tokenId parameter is not validated. A malicious actor could provide an invalid tokenId, which might cause unexpected behavior.</t>
  </si>
  <si>
    <t xml:space="preserve">_cancelAndRefund</t>
  </si>
  <si>
    <t xml:space="preserve">The contract relies on external calls to `_transfer(tokenAddress, _keyOwner, refund);` and `onKeyCancelHook.onKeyCancel(msg.sender, _keyOwner, refund);`. This introduces potential risks related to reentrancy and the execution of malicious code from external contracts.</t>
  </si>
  <si>
    <t xml:space="preserve">The _cancelAndRefund function updates the key's `expirationTimestamp` and emits the CancelKey event before transferring funds and making an external call to `onKeyCancelHook.onKeyCancel`. This could allow a malicious contract to call _cancelAndRefund in a specific sequence or frequency to manipulate the `expirationTimestamp` and related events without actually completing a valid refund. Reordering the function execution to ensure proper transfer and external calls before updating the timestamp and emitting events can mitigate this risk.</t>
  </si>
  <si>
    <t xml:space="preserve">In the `shareKey` function, there is no atomicity in operations like updating the expirationTimestamp, tokenId, and key manager. If a transaction fails in the middle of this process, it could result in an inconsistent state. To fix this issue, consider wrapping these operations in a function that reverts all changes if an error occurs during execution.</t>
  </si>
  <si>
    <t xml:space="preserve">The _cancelAndRefund function cancels the key and transfers the refund amount to the key owner. However, it does not ensure atomicity of these operations. If the transfer of the refund fails (e.g., due to out-of-gas exception), the key would still be cancelled, causing a discrepancy between the key's state and the expected refund amount.</t>
  </si>
  <si>
    <t xml:space="preserve">The purchase function handles the assignment of keys, the recording of key purchases, and the transfer of funds. However, it does not ensure atomicity for these operations. If any of these operations fail (e.g., due to out-of-gas exception), the contract state may be left in an inconsistent state. To address this issue, the contract should use a checkpoint-revert mechanism to ensure that all operations succeed or all are reverted.</t>
  </si>
  <si>
    <t xml:space="preserve">The `_push` function assumes that the provided `options` will be well-formatted, and thus does not check for malformed input. This can lead to unexpected behavior when parsing the input using the `_parseOptions` function, which can return default values if the input is empty or of incorrect length. The `_push` function should include checks to ensure that the provided options are well-formatted to avoid potential issues.</t>
  </si>
  <si>
    <t xml:space="preserve">The `_pull` function relies on the `_pullUniV3Nft` function to decrease liquidity and collect tokens. However, there is no check for whether the input `tokenAmounts` are valid or not. If the input contains invalid or unexpected values, it might lead to unexpected behavior when calculating the `liquidityToPull` value. The `_pull` function should include checks to ensure that the input token amounts are valid.</t>
  </si>
  <si>
    <t xml:space="preserve">setChainlinkFeedAddress</t>
  </si>
  <si>
    <t xml:space="preserve">There is no validation to check if the input `priceOracle` address is actually a valid Chainlink aggregator contract. A malicious owner can set an incorrect address as the oracle, which can lead to incorrect price data.</t>
  </si>
  <si>
    <t xml:space="preserve">getChainlinkLatestPrice</t>
  </si>
  <si>
    <t xml:space="preserve">The function uses timestamp as an indicator of whether the price data is valid or not. However, it does not check if the timestamp is too old, which may lead to the use of outdated price data. This can be mitigated by checking if the timestamp difference is within an acceptable range.</t>
  </si>
  <si>
    <t xml:space="preserve">setUniswapFeedAddress</t>
  </si>
  <si>
    <t xml:space="preserve">There is no validation to check if the input `pool` address is a valid Uniswap pool contract. A malicious owner can set an incorrect address as the pool, which can lead to incorrect price data.</t>
  </si>
  <si>
    <t xml:space="preserve">61_2</t>
  </si>
  <si>
    <t xml:space="preserve">The function `getChainlinkLatestPrice` can return outdated data if the Chainlink aggregator feed fails to update in time or if the price feed stops working. This can happen due to various reasons such as a temporary network issue or a bug in the aggregator contract. The function checks for timeStamp and answeredInRound, however, these conditions might not be enough to guarantee the freshness of the data.</t>
  </si>
  <si>
    <t xml:space="preserve">The function `setUniswapFeedAddress` does not validate if the pool address provided actually represents a valid Uniswap pool for the given token pair. An attacker could potentially set an incorrect pool address, which could lead to incorrect price information being used. To mitigate this, the function should validate the pool address by checking if it is indeed a valid Uniswap pool for the given token pair.</t>
  </si>
  <si>
    <t xml:space="preserve">withdraw, withdrawFrom, _withdraw</t>
  </si>
  <si>
    <t xml:space="preserve">The `withdraw` and `withdrawFrom` functions call the internal `_withdraw` function. The `_withdraw` function unlocks tokens/shares from the strategy and then transfers them to the receiver address. However, there is no check ensuring the transfer is successful. In case of a failed transfer, the tokens would remain unlocked in the contract, but the balanceInShares would be decreased, causing an inconsistency in the user's balance.</t>
  </si>
  <si>
    <t xml:space="preserve">withdrawAll</t>
  </si>
  <si>
    <t xml:space="preserve">The `withdrawAll` function iterates through the list of strategies and withdraws the user's balance in each strategy. However, there is no check to ensure that the strategies are still valid, i.e., they have not been removed from the strategy registry. In case a strategy is removed from the registry but still holds user balances, the `withdrawAll` function would not be able to withdraw tokens locked in that strategy, leading to a potential loss of user funds.</t>
  </si>
  <si>
    <t xml:space="preserve">61_3</t>
  </si>
  <si>
    <t xml:space="preserve">There is a potential vulnerability with how the getChainlinkLatestPrice function checks the validity of the latest round data for the price feed. Specifically, the function checks if `answeredInRound1 &lt; roundID1` and `answeredInRound2 &lt; roundID2`, which can lead to a situation where the Chainlink Oracle returns outdated data when the latest round hasn't been answered yet, causing the function to return incorrect price data. A better approach would be to compare the `timeStamp1` and `timeStamp2` with a certain threshold, such as the current block timestamp, to ensure the data is not outdated.</t>
  </si>
  <si>
    <t xml:space="preserve">The setChainlinkFeedAddress function does not validate if the provided `priceOracle` address is a valid Chainlink AggregatorV3Interface contract. This can lead to a situation where an invalid address is added as a price oracle, causing the getChainlinkLatestPrice function to potentially fail or return unexpected results. To avoid this, you should add a check to ensure the `priceOracle` address is a valid Chainlink AggregatorV3Interface contract.</t>
  </si>
  <si>
    <t xml:space="preserve">64_1</t>
  </si>
  <si>
    <t xml:space="preserve">The _requireTicket function is using a staticcall to check if the _ticket address passed is valid. However, it doesn't check for a specific return value, which could lead to unexpected behavior. To mitigate this, the function should check the return value of the staticcall to ensure it matches the expected value.</t>
  </si>
  <si>
    <t xml:space="preserve">_calculateRewardAmount</t>
  </si>
  <si>
    <t xml:space="preserve">The _calculateRewardAmount function calculates the reward amount for a specific user based on their average balance during an epoch. However, if the average total supply of the ticket is 0, the function returns 0 rewards. This may lead to unexpected results, as users with a balance during that epoch would not receive any rewards. To fix this issue, the contract should handle the case where the average total supply is 0, such as providing a minimum reward amount.</t>
  </si>
  <si>
    <t xml:space="preserve">_getRemainingRewards</t>
  </si>
  <si>
    <t xml:space="preserve">The _getRemainingRewards function calculates the remaining rewards for a promotion by multiplying the tokens per epoch by the remaining epochs. However, it does not consider any rounding errors that may occur during division, leading to potential inaccuracies in the remaining rewards calculation. To address this, the contract should account for rounding errors in the calculation.</t>
  </si>
  <si>
    <t xml:space="preserve">There is no check for the total supply of synths that can be minted. An attacker might take advantage of this and mint an unlimited amount of synths, which could lead to a potential vulnerability.</t>
  </si>
  <si>
    <t xml:space="preserve">The function burnSynth checks if the synthAmount is greater than 0 but does not validate if the amount is within an acceptable range. An attacker could potentially call the function with an extremely large synthAmount, causing issues with the contract.</t>
  </si>
  <si>
    <t xml:space="preserve">The function burnFungible does not handle the case where the reserves of nativeAsset and foreignAsset become very low. This could lead to slippage, which may result in unexpected losses for users interacting with the contract. Additionally, the function does not check if the liquidity provided is greater than 0, which could lead to unexpected behavior.</t>
  </si>
  <si>
    <t xml:space="preserve">setTokenSupport</t>
  </si>
  <si>
    <t xml:space="preserve">The function setTokenSupport allows the contract owner to change the support status of a token. However, it does not validate if the reserves of the token are empty when trying to unsupport a token. An attacker could potentially unsupport a token with non-empty reserves, leading to unexpected consequences.</t>
  </si>
  <si>
    <t xml:space="preserve">In the `createMarket` function, there is no validation for the length of the `_conditions` array and `_references` array. If an incorrect length is provided, this may lead to unexpected behavior, including incorrect market conditions or references.</t>
  </si>
  <si>
    <t xml:space="preserve">The `createMarket` function assumes that the `_references[0]` element exists and is used without any validation. If the `_references` array is empty, this will lead to an out-of-bounds access error, causing the function to revert.</t>
  </si>
  <si>
    <t xml:space="preserve">In the `initialize` function, there is a check that ensures various conditions are met before proceeding with the initialization. However, this check can lead to potential issues if the `_references` array does not have at least 5 elements. The check does not validate the length of the `_references` array. If `_references` has fewer than 5 elements, the function will throw an "Array out of bounds" error, leading to unexpected behavior.</t>
  </si>
  <si>
    <t xml:space="preserve">requestWithdraw and withdraw</t>
  </si>
  <si>
    <t xml:space="preserve">The `requestWithdraw` and `withdraw` functions are separate, allowing the possibility of an atomicity violation. A user can request a withdrawal of a certain amount, and then the available balance can change (e.g., due to other withdrawals) before the user's withdrawal is processed. In this case, the user might not receive the expected amount, or their withdrawal might fail due to insufficient liquidity. This could be mitigated by combining the request and execution of withdrawals into a single atomic function.</t>
  </si>
  <si>
    <t xml:space="preserve">insure</t>
  </si>
  <si>
    <t xml:space="preserve">The `insure` function calculates the premium based on the current state of the contract (totalLiquidity, lockedAmount, etc.). However, this may lead to unexpected results if the state of the contract changes significantly between the time when the user calculates the expected premium and the time when the `insure` function is called. For instance, this might occur if there are many deposits, withdrawals, or insurances in a short period. To address this issue, the contract could implement a mechanism to lock the state for a short duration during the insurance process.</t>
  </si>
  <si>
    <t xml:space="preserve">withdrawValue</t>
  </si>
  <si>
    <t xml:space="preserve">In the `withdrawValue` function, the available balance of the contract is checked after the shortage is covered by `_unutilize` function call. However, there is no guarantee that the controller contract will return the expected amount of tokens when the `controller.withdraw` function is called in the `_unutilize` function. This may lead to an unexpected shortage of tokens in the contract.</t>
  </si>
  <si>
    <t xml:space="preserve">utilize</t>
  </si>
  <si>
    <t xml:space="preserve">In the `utilize` function, the contract transfers the available balance to the controller and calls the `controller.earn` function. However, there is no guarantee that the `controller.earn` function will be executed successfully. If the `controller.earn` function fails or is manipulated to return before completing its intended actions, the tokens sent to the controller may be lost or stuck, leading to an atomicity violation in the business flow.</t>
  </si>
  <si>
    <t xml:space="preserve">addValueBatch</t>
  </si>
  <si>
    <t xml:space="preserve">In the `addValueBatch` function, the `_shares` array is expected to have a sum of 1000000. However, this requirement does not guarantee that the individual elements of the `_shares` array are within a valid range (0 to 1000000). If an element in the `_shares` array is larger than 1000000, it may lead to incorrect calculations of allocations and attributions for the beneficiaries.</t>
  </si>
  <si>
    <t xml:space="preserve">There is a potential vulnerability with the use of Chainlink oracles in this smart contract due to the assumption of the latest data. If the market uses Chainlink oracles to provide data for any of the contract's references, it might return outdated data in certain cases. To mitigate this issue, the contract should validate that the data provided by the oracles is recent or within an acceptable time range.</t>
  </si>
  <si>
    <t xml:space="preserve">The initialize function does not have proper validation checks for the input parameters. The input arrays '_conditions' and '_references' are used directly without checking their lengths, which could lead to unexpected results or potential out-of-bounds issues.</t>
  </si>
  <si>
    <t xml:space="preserve">deposit, _depositFrom</t>
  </si>
  <si>
    <t xml:space="preserve">In the deposit and _depositFrom functions, the event "Deposit" is emitted before the minting of tokens with _mint(). This could lead to an incorrect representation of the state in the case where the mint operation fails or reverts.</t>
  </si>
  <si>
    <t xml:space="preserve">allocateCredit, withdrawCredit</t>
  </si>
  <si>
    <t xml:space="preserve">Both allocateCredit and withdrawCredit functions are updating the rewards for the user; however, there is no check for possible overflow when calculating the new rewardDebt. This can lead to unexpected behavior and incorrect reward calculations.</t>
  </si>
  <si>
    <t xml:space="preserve">In the `createMarket` function, the contract checks for the existence of a market with the same template and reference[0]. If a market with the same template and reference[0] exists and the template does not allow duplicates, the function reverts. However, between the existence check and the revert, an attacker could create a market with the same template and reference[0], which might lead to an undesired state.</t>
  </si>
  <si>
    <t xml:space="preserve">The "initialize" function lacks any access control, which could lead to potential re-initialization attacks by external entities. The function should have a modifier to limit the access to a specific role or address, like an owner or admin. To fix this issue, the addition of an "onlyOwner" or a similar access control modifier should be added to the "initialize" function.</t>
  </si>
  <si>
    <t xml:space="preserve">The "deposit" function updates the contract state by calling "_mint" before the "vault.addValue" function is called. If an attacker is able to cause the "vault.addValue" function to fail (e.g., by causing a revert), the contract state would be updated incorrectly. To fix this issue, "vault.addValue" should be called before the "_mint" function, and any contract state updates should only occur after all external contract calls are successful.</t>
  </si>
  <si>
    <t xml:space="preserve">The "insure" function allows a user to specify their "_maxCost" for the insurance premium, which may lead to unexpected results if a user submits a lower value than the actual premium calculated. To fix this issue, the function should either enforce a specific calculation or range for the insurance premium or provide a more precise way for users to calculate the required premium beforehand.</t>
  </si>
  <si>
    <t xml:space="preserve">The "applyCover" function can be called by the contract owner to set the market status to "Payingout" and lock the index contracts. However, there is no validation to check if the provided incident information is accurate or up-to-date. This may lead to unexpected consequences if inaccurate information is provided by the contract owner. To fix this issue, additional validation or checks can be implemented to ensure the accuracy of the incident information provided.</t>
  </si>
  <si>
    <t xml:space="preserve">transferDebt</t>
  </si>
  <si>
    <t xml:space="preserve">In the `transferDebt` function, there is no check to ensure that the _amount is less than or equal to the debt of the sender. This could lead to underflow if _amount is greater than the sender's debt, which may result in unintended consequences.</t>
  </si>
  <si>
    <t xml:space="preserve">The `addValueBatch` function expects _shares to sum up to 1000000. However, there is no restriction on the function input values for the _shares array. This can lead to unexpected function invocation arguments if the sum of the _shares array does not equal 1000000.</t>
  </si>
  <si>
    <t xml:space="preserve">77_1</t>
  </si>
  <si>
    <t xml:space="preserve">The `addLiquidity` function doesn't update internalBalances.baseTokenReserveQty and internalBalances.quoteTokenReserveQty after adding liquidity. This might cause the internal balances to be outdated, leading to incorrect calculations in subsequent operations.</t>
  </si>
  <si>
    <t xml:space="preserve">swapBaseTokenForQuoteToken</t>
  </si>
  <si>
    <t xml:space="preserve">The `swapBaseTokenForQuoteToken` function doesn't update the internalBalances after the swap, which may result in incorrect calculations for future swaps or liquidity provision/removal.</t>
  </si>
  <si>
    <t xml:space="preserve">swapQuoteTokenForBaseToken</t>
  </si>
  <si>
    <t xml:space="preserve">Similar to `swapBaseTokenForQuoteToken`, the `swapQuoteTokenForBaseToken` function doesn't update the internalBalances after the swap, which may result in incorrect calculations for future swaps or liquidity provision/removal.</t>
  </si>
  <si>
    <t xml:space="preserve">The `swapBaseTokenForQuoteToken` function updates the contract state by transferring tokens before calculating and updating the internal balances. This could lead to incorrect internal balance calculations in the case of a reentrant call. To fix this issue, the token transfer should be executed after updating the internal balances.</t>
  </si>
  <si>
    <t xml:space="preserve">The `swapQuoteTokenForBaseToken` function updates the contract state by transferring tokens before calculating and updating the internal balances. This could lead to incorrect internal balance calculations in the case of a reentrant call. To fix this issue, the token transfer should be executed after updating the internal balances.</t>
  </si>
  <si>
    <t xml:space="preserve">The enforceTolerance function is intended to enforce limits on a per-variable basis. However, the function is public and can be invoked by any external actor with arbitrary arguments, potentially causing unexpected behavior or manipulation of the enforceTolerance checks.</t>
  </si>
  <si>
    <t xml:space="preserve">In the assertGovernanceApproved function, the transfer of tokens and the updating of the pendingFlashDecision mapping are not atomic. If the transfer of tokens fails, the function will revert, but if any other require statement fails, the changes in the pendingFlashDecision mapping will persist. This could potentially lead to inconsistent state.</t>
  </si>
  <si>
    <t xml:space="preserve">configureFlashGovernance, configureSecurityParameters</t>
  </si>
  <si>
    <t xml:space="preserve">The configureFlashGovernance and configureSecurityParameters functions can only be called by successful proposals. However, if there are unexpected changes in the environment or contract conditions (e.g., due to ChainLink returning outdated data or slippage occurring), the new configuration could become invalid or suboptimal.</t>
  </si>
  <si>
    <t xml:space="preserve">The assertGovernanceApproved function can be called at any frequency, and there is no limitation on the number of times it can be called within a single epoch. This could lead to unexpected sequences or frequencies of flash governance decisions, potentially causing governance issues or manipulation of the contract state.</t>
  </si>
  <si>
    <t xml:space="preserve">The burnFlashGovernanceAsset function depends on the burnable asset to implement the Burnable interface correctly. If the burnable asset contract has a bug or behaves unexpectedly, the burning of the asset might not happen as intended, resulting in potential loss of funds or contract misbehavior.</t>
  </si>
  <si>
    <t xml:space="preserve">The `assertGovernanceApproved` function can be called with the `emergency` parameter set to true, which allows bypassing the epoch restriction. There is a warning in the code about using the emergency flag carefully, but it is not enforced programmatically. An attacker with knowledge of the contract might call this function with the `emergency` flag set to true, resulting in unexpected behavior or disrupting the system.</t>
  </si>
  <si>
    <t xml:space="preserve">The 'assertGovernanceApproved' function takes the 'emergency' argument but does not validate whether the emergency decision was made by a trusted or authorized entity. This could lead to misuse of the emergency functionality.</t>
  </si>
  <si>
    <t xml:space="preserve">In the 'withdrawGovernanceAsset' function, the user can withdraw their collateral asset after the lock period, even if the decision has not yet been approved by the community. This may allow users to perform malicious actions without being punished by the community.</t>
  </si>
  <si>
    <t xml:space="preserve">configureFlashGovernance</t>
  </si>
  <si>
    <t xml:space="preserve">The 'configureFlashGovernance' function allows setting the deposit asset, amount, unlock time, and burnability of the asset. However, it does not validate whether the asset address is a valid ERC20 token or not, which could lead to unexpected behavior.</t>
  </si>
  <si>
    <t xml:space="preserve">The 'burnFlashGovernanceAsset' function allows burning the collateral asset of a flash governance decision. However, it does not check whether the asset has been withdrawn by the user who made the decision. This could lead to unexpected scenarios where the collateral asset is burned even if it has been withdrawn by the user.</t>
  </si>
  <si>
    <t xml:space="preserve">80_1</t>
  </si>
  <si>
    <t xml:space="preserve">nonReentrant</t>
  </si>
  <si>
    <t xml:space="preserve">The contract utilizes a nonReentrant modifier to prevent reentrancy attacks. However, it uses a bool `_status` flag to implement the modifier, which is not as robust as the `ReentrancyGuard.sol` provided by OpenZeppelin. Using the OpenZeppelin's `ReentrancyGuard.sol` is recommended to have a better protection against reentrancy attacks.</t>
  </si>
  <si>
    <t xml:space="preserve">setApprovals</t>
  </si>
  <si>
    <t xml:space="preserve">The function `setApprovals()` sets the maximum approval to the pool and convex booster contract to transfer funds from the wrapper. However, there is no access control on this function, and anyone can call it. This could lead to potential issues if a malicious user resets the approvals while a user interaction is in progress. It is recommended to add appropriate access control to this function to prevent unauthorized usage.</t>
  </si>
  <si>
    <t xml:space="preserve">_checkpoint, _checkpointAndClaim, user_checkpoint</t>
  </si>
  <si>
    <t xml:space="preserve">The `_checkpoint`, `_checkpointAndClaim`, and `user_checkpoint` functions accept an array of addresses as an argument. However, there is no validation of these addresses in the functions, which might lead to unexpected behavior when wrong addresses are supplied. It is recommended to add address validation in these functions to prevent any unwanted behavior.</t>
  </si>
  <si>
    <t xml:space="preserve">The `addRewards` function is called in the constructor and can be called again afterward. If it is called multiple times, it would push duplicate reward tokens and pools to the `rewards` array, leading to unexpected contract behavior. It is recommended to add a check or a modifier to ensure that this function is only called once during the contract's lifecycle.</t>
  </si>
  <si>
    <t xml:space="preserve">removeVault</t>
  </si>
  <si>
    <t xml:space="preserve">In the `removeVault` function, the `account` parameter is used to identify the account whose vault needs to be removed. However, the function also checks if `account` is not equal to the owner of the vault. If this condition is true, the function proceeds to remove the vault. This can lead to unexpected behavior if someone accidentally or maliciously calls this function with an incorrect `account` parameter. The correct approach would be to check if `account` is equal to the owner of the vault and proceed only if this condition is true.</t>
  </si>
  <si>
    <t xml:space="preserve">In the `wrap` function, the contract uses the `from_` parameter to update the checkpoint but does not verify whether the `from_` parameter is the actual sender of the tokens. This can lead to unexpected behavior if the function is called with an incorrect `from_` parameter.</t>
  </si>
  <si>
    <t xml:space="preserve">deactivate</t>
  </si>
  <si>
    <t xml:space="preserve">The `deactivate` function can be called even after a token has been deactivated, which could lead to unwanted behavior such as transferring the token balance to the `msg.sender` repeatedly. To fix this issue, add a condition to check if the token is already deactivated before performing the deactivation.</t>
  </si>
  <si>
    <t xml:space="preserve">donate</t>
  </si>
  <si>
    <t xml:space="preserve">The `donate` function allows users to donate tokens to the contract. However, there is no check to ensure that the `_amount` parameter is greater than zero. This could lead to users calling the function with a zero value, resulting in wasted gas fees and unnecessary events. Add a check to ensure that the donated amount is greater than zero.</t>
  </si>
  <si>
    <t xml:space="preserve">In the `withdraw` function, the `claimed` mapping is updated before the token transfer. If the token transfer fails (e.g., due to a malicious token contract), the user's withdrawal claim will be marked as completed, even though they have not received the tokens. To fix this issue, the token transfer should occur before updating the `claimed` mapping.</t>
  </si>
  <si>
    <t xml:space="preserve">The `withdraw` function allows the caller to specify the recipient address (`_to`) for the withdrawn tokens. This may lead to mistakes or potential abuse if the caller unintentionally or maliciously enters an incorrect address. It's recommended to use `msg.sender` as the recipient address directly or add checks to ensure that the specified recipient address is valid and expected by the caller.</t>
  </si>
  <si>
    <t xml:space="preserve">activate</t>
  </si>
  <si>
    <t xml:space="preserve">The `activate` function sets the `activated` timestamp for a given token based on the current block timestamp. In rare cases, the block timestamp can be manipulated by miners within a certain range. This could potentially impact the activation and deactivation periods. To mitigate this risk, consider using a more reliable source of time, such as a decentralized oracle, or increase the GRACE_PERIOD to reduce the potential impact of minor timestamp manipulations.</t>
  </si>
  <si>
    <t xml:space="preserve">The `deactivate` function allows the client to deactivate a token after the GRACE_PERIOD has passed. However, there's no check to ensure that the remaining tokens are returned to the client or a specified party. If the contract has a balance of other tokens (e.g., due to donations), these tokens will remain in the contract and be inaccessible. To address this issue, consider adding a function to allow the client to withdraw any remaining tokens upon deactivation or after the GRACE_PERIOD has passed.</t>
  </si>
  <si>
    <t xml:space="preserve">The `donate` function does not validate the input of `_amount`. A user could potentially donate 0 tokens, which may not be the intended behavior. To fix this, you could add a require statement to ensure the donated amount is greater than 0</t>
  </si>
  <si>
    <t xml:space="preserve">The `deactivate` function has a logical error in the `require` statement. It checks if the grace period is over, but it should check if the grace period is still active. The correct check would be</t>
  </si>
  <si>
    <t xml:space="preserve">90_1</t>
  </si>
  <si>
    <t xml:space="preserve">In the 'mint' function, the loop that iterates over the assets and mints vTokens is not atomic. If any of the vToken.mint() calls fail or revert due to external factors, the whole transaction will fail, but some vTokens may have been already minted, leading to an inconsistent state.</t>
  </si>
  <si>
    <t xml:space="preserve">The mint function does not have any restrictions on who can call it or how many times it can be called. This can lead to unexpected minting of tokens by arbitrary addresses, affecting the index's value and potentially enabling manipulation of the index by malicious actors.</t>
  </si>
  <si>
    <t xml:space="preserve">The burn function does not check for slippage or outdated data when interacting with price oracle. If the price oracle returns outdated data, the function might not properly distribute assets when burning the index, leading to an incorrect distribution of underlying assets to the _recipient. This can result in losses for the index holders.</t>
  </si>
  <si>
    <t xml:space="preserve">The burn function does not have any restrictions on who can call it or how many times it can be called. This can lead to unexpected burning of tokens by arbitrary addresses, affecting the index's value and potentially enabling manipulation of the index by malicious actors.</t>
  </si>
  <si>
    <t xml:space="preserve">90_2</t>
  </si>
  <si>
    <t xml:space="preserve">The `mint` function has a loop iterating over the assets and invoking vToken.mint() for each asset. If a transaction fails during this loop (e.g., due to an out-of-gas exception), the minting process is interrupted, and the index state becomes inconsistent with the asset balances.</t>
  </si>
  <si>
    <t xml:space="preserve">The contract relies on the price oracle to provide up-to-date and correct asset prices. If the price oracle returns outdated data, it could result in an incorrect calculation of the minted index tokens or the burned assets. This issue could occur in the `mint` function when calculating the `minAmountInBase` and the `lastAssetBalanceInBase`. It could also happen in the `burn` function when calculating the `accountBalance` and executing the `vToken.burn(_recipient)` function.</t>
  </si>
  <si>
    <t xml:space="preserve">90_3</t>
  </si>
  <si>
    <t xml:space="preserve">The mint function is vulnerable to business-flow atomicity violations due to the lack of checks and locks during the minting process. A potential race condition could occur if two or more transactions call the mint function simultaneously, leading to incorrect calculations and unintended distribution of tokens.</t>
  </si>
  <si>
    <t xml:space="preserve">94_1</t>
  </si>
  <si>
    <t xml:space="preserve">makeOffer</t>
  </si>
  <si>
    <t xml:space="preserve">The makeOffer function allows users to make offers on NFTs, but it lacks proper checks for the token's ownership status. An offer could be made on an NFT that has been transferred to a new owner, leading to an inconsistency in the offer process.</t>
  </si>
  <si>
    <t xml:space="preserve">acceptOffer</t>
  </si>
  <si>
    <t xml:space="preserve">The acceptOffer function does not check if the caller (msg.sender) is the actual owner of the NFT before proceeding with the offer acceptance. This can lead to unauthorized users being able to accept offers on NFTs they do not own.</t>
  </si>
  <si>
    <t xml:space="preserve">94_2</t>
  </si>
  <si>
    <t xml:space="preserve">_getCreatorPaymentInfo</t>
  </si>
  <si>
    <t xml:space="preserve">The function `_getCreatorPaymentInfo` uses multiple external contract calls with `try-catch` blocks to fetch information about royalties. There is a possibility that the external contracts may provide unexpected arguments, sequences, or frequencies. However, the function handles potential errors by using `try-catch` blocks and falling through to the next royalty API check if an error occurs. This mitigates the risk but does not entirely eliminate it.</t>
  </si>
  <si>
    <t xml:space="preserve">buy</t>
  </si>
  <si>
    <t xml:space="preserve">In the 'buy' function, the 'maxPrice' parameter is not checked for overflow, which could lead to unexpected results when a malicious user provides an extremely large value.</t>
  </si>
  <si>
    <t xml:space="preserve">setBuyPrice</t>
  </si>
  <si>
    <t xml:space="preserve">In the 'setBuyPrice' function, there is a possibility that the price value is greater than the maximum uint96 value. Although there is a check to avoid this situation, it does not prevent the contract from being used with ERC721 tokens that have a very high value, potentially causing unexpected behavior.</t>
  </si>
  <si>
    <t xml:space="preserve">In the `makeOffer` function, the contract first checks if the `_autoAcceptBuyPrice` function returns true. If it does, the function returns 0 without modifying the offer. However, if it returns false, the offer is processed further. This could lead to an atomicity violation if another transaction is processed between the `_autoAcceptBuyPrice` check and the offer processing, potentially causing the offer to be accepted at an incorrect price.</t>
  </si>
  <si>
    <t xml:space="preserve">In the `makeOffer` function, the function call to `feth.marketLockupFor{ value</t>
  </si>
  <si>
    <t xml:space="preserve">In the `buy` function, there is no atomicity in the condition check and execution. An attacker could potentially exploit this by causing a race condition. The function checks if `buyPrice.price &gt; maxPrice` or `buyPrice.seller == address(0)`, but there is no guarantee that the state will remain the same until `_buy` is executed. To fix this, consider using the `checks-effects-interactions` pattern.</t>
  </si>
  <si>
    <t xml:space="preserve">96_2</t>
  </si>
  <si>
    <t xml:space="preserve">mint, burn, lend, withdraw, borrow, pay, collectProtocolFee</t>
  </si>
  <si>
    <t xml:space="preserve">There is no revert mechanism in place in case the functions fail during execution, causing a possible violation of business-flow atomicity. The functions should be wrapped in a try-catch block, and in case of failure, all state changes should be reverted.</t>
  </si>
  <si>
    <t xml:space="preserve">97_1</t>
  </si>
  <si>
    <t xml:space="preserve">depositErc20</t>
  </si>
  <si>
    <t xml:space="preserve">The function depositErc20 allows for a user to deposit an ERC20 token into the liquidity pool, but there is no check for the possibility of outdated or stale data from the ChainLink oracle. This could potentially result in incorrect deposit amounts or imbalances in the liquidity pool.</t>
  </si>
  <si>
    <t xml:space="preserve">sendFundsToUser</t>
  </si>
  <si>
    <t xml:space="preserve">The function sendFundsToUser is responsible for sending funds to the user. However, it accepts a tokenGasPrice argument without validating it. An attacker could potentially exploit this by providing an extremely low tokenGasPrice, causing the contract to underestimate the gas fee and send more tokens to the user than expected.</t>
  </si>
  <si>
    <t xml:space="preserve">The depositErc20 function has a potential vulnerability where an outdated ChainLink oracle might be used to calculate rewards or fees. If the oracle returns outdated data, the rewards or fees might not be accurate, potentially causing financial losses to users.</t>
  </si>
  <si>
    <t xml:space="preserve">The sendFundsToUser function updates the processedHash mapping only after performing the transfer. In the case where the transfer fails (e.g., due to an exception in the receiver contract), the processedHash would still be updated, and the user would be unable to retry the transfer. The function should be updated to update the processedHash mapping only after a successful transfer.</t>
  </si>
  <si>
    <t xml:space="preserve">100_1</t>
  </si>
  <si>
    <t xml:space="preserve">In the `deposit` function, the contract calculates the fees based on the `_baseToken.balanceOf(address(this))`. However, this may include tokens that were transferred to the contract by mistake or by a malicious actor, causing an incorrect calculation of fees. It's possible that this could lead to loss of funds for the depositor or the contract.</t>
  </si>
  <si>
    <t xml:space="preserve">100_2</t>
  </si>
  <si>
    <t xml:space="preserve">In the `deposit` function, the amount to deposit is calculated using the balance of the contract instead of the amount provided as an argument. This could lead to unintended behavior when the contract has latent funds. To fix this, the code should use `_amount` directly to calculate `_amountToDeposit`</t>
  </si>
  <si>
    <t xml:space="preserve">In the `initialize` function, the `__ERC20_init_unchained` function is called with string literals as arguments, which are not required to be wrapped in `string()`. The correct way to call the function should be</t>
  </si>
  <si>
    <t xml:space="preserve">100_3</t>
  </si>
  <si>
    <t xml:space="preserve">The deposit function relies on the balance of the base token in the contract to calculate the amount to deposit. However, an attacker could send tokens to the contract address to manipulate the balance and disrupt the calculation of the deposit amount.</t>
  </si>
  <si>
    <t xml:space="preserve">The deposit function calculates the amount to deposit by calling the balanceOf function of the base token. This creates a race condition where the deposit function could be called by another user before the previous deposit transaction is finished, causing an incorrect deposit calculation.</t>
  </si>
  <si>
    <t xml:space="preserve">Similar to the deposit function, the withdraw function calculates the amount to withdraw using the balanceOf function of the base token. This creates a race condition where the withdraw function could be called by another user before the previous withdrawal transaction is finished, causing an incorrect withdrawal calculation.</t>
  </si>
  <si>
    <t xml:space="preserve">setMintingFee and setRedemptionFee</t>
  </si>
  <si>
    <t xml:space="preserve">The setMintingFee and setRedemptionFee functions do not validate if the new fee values are within reasonable limits (e.g., 0 &lt;= fee &lt;= FEE_LIMIT). Although there is a check for the fee not exceeding the FEE_LIMIT, there is no check to ensure that the fee is non-negative. This could lead to potential issues if a negative fee value is passed.</t>
  </si>
  <si>
    <t xml:space="preserve">initiateWithdrawal and uninitiateWithdrawal</t>
  </si>
  <si>
    <t xml:space="preserve">Users can initiate and uninitiate withdrawal requests multiple times without any restriction. This could be exploited by an attacker to spam the contract with multiple withdrawal requests or cancel them frequently, leading to increased gas costs for other users.</t>
  </si>
  <si>
    <t xml:space="preserve">125_1</t>
  </si>
  <si>
    <t xml:space="preserve">CurveswapAdapter.swapExactTokensForTokens</t>
  </si>
  <si>
    <t xml:space="preserve">In the processYield() and _withdrawFromYieldPool() functions, the CurveswapAdapter.swapExactTokensForTokens() function is called with the 'minAmountOut' parameter set to a fixed value of 200. This value represents the minimum amount of output tokens expected in the swap, but it is not adjusted according to the input amount or the market conditions. This may result in the swap failing if the slippage is higher than expected or if the input amount is very low. It is recommended to use a dynamic 'minAmountOut' value based on slippage tolerance.</t>
  </si>
  <si>
    <t xml:space="preserve">processYield</t>
  </si>
  <si>
    <t xml:space="preserve">The processYield() function assumes that the yield from lendingPool is in stETH, and then converts it to ETH using CurveswapAdapter. However, there is a possibility that the lendingPool could return an outdated yield value or that the stETH/ETH price on Curve is outdated. This can lead to incorrect calculations and potential losses for the users. To mitigate this risk, it is recommended to use an oracle to fetch the latest stETH/ETH price and compare it with the price on Curve before proceeding with the conversion.</t>
  </si>
  <si>
    <t xml:space="preserve">depositCollateral</t>
  </si>
  <si>
    <t xml:space="preserve">The depositCollateral function does not have any checks on the input parameters for _asset and _amount. It is possible that a user can invoke the function with an incorrect or malicious asset address or an unexpected amount, which could lead to undesired results.</t>
  </si>
  <si>
    <t xml:space="preserve">setTreasuryInfo</t>
  </si>
  <si>
    <t xml:space="preserve">The setTreasuryInfo function allows the admin to set the treasury address and the vault fee. However, there is no check to ensure that the treasury address being set is not the same as the contract address, which could lead to unexpected behavior.</t>
  </si>
  <si>
    <t xml:space="preserve">125_2</t>
  </si>
  <si>
    <t xml:space="preserve">The function `CurveswapAdapter.swapExactTokensForTokens` is called with the argument `200` as the minimum amount of tokens expected in return. However, this number is hardcoded and does not account for potential slippage or varying market conditions, which could result in undesired outcomes during the token swap. It would be more appropriate to calculate the slippage based on the current market conditions and user preferences.</t>
  </si>
  <si>
    <t xml:space="preserve">The function `processYield` relies on the `_getYield` function to determine the yield amount for the LIDO contract. However, this function is not visible in the provided code, and its implementation cannot be verified. If `_getYield` were to return outdated or incorrect data, it could lead to unexpected contract conditions or incorrect calculations for the yield amount.</t>
  </si>
  <si>
    <t xml:space="preserve">In the depositCollateral function, there is no validation for the input parameters _asset and _amount. A user might send an incorrect asset address or deposit an incorrect amount, which could result in unexpected behavior. It's recommended to add validations to check for valid asset addresses and non-zero deposit amounts.</t>
  </si>
  <si>
    <t xml:space="preserve">125_3</t>
  </si>
  <si>
    <t xml:space="preserve">_withdrawFromYieldPool</t>
  </si>
  <si>
    <t xml:space="preserve">In the `_withdrawFromYieldPool` function, there's a potential reentrancy vulnerability. The function sends ETH to the user before updating the internal state. An attacker could exploit this vulnerability by calling the function recursively to drain the contract funds. To fix this, the state should be updated before transferring the funds, and the contract should use a reentrancy guard to prevent nested calls.</t>
  </si>
  <si>
    <t xml:space="preserve">In the `processYield` function, there's no check to ensure that the received ETH amount is correct after the `CurveswapAdapter.swapExactTokensForTokens` call. If the received ETH amount is less than expected, it can cause an incorrect WETH deposit, and the yield manager might not receive the correct amount of WETH. To fix this, the contract should validate the received ETH amount and revert the transaction if it's less than expected.</t>
  </si>
  <si>
    <t xml:space="preserve">In the depositCollateral function, there is no check to ensure that the _amount is greater than 0. If someone calls this function with 0 as _amount, it will not throw an error and will emit a DepositCollateral event, which may not be the desired behavior.</t>
  </si>
  <si>
    <t xml:space="preserve">currentPrice</t>
  </si>
  <si>
    <t xml:space="preserve">returning outdated data or slippage occurring)</t>
  </si>
  <si>
    <t xml:space="preserve">The 'currentPrice' function takes the '_decimals' parameter as input, and there is no validation to check whether the input value is within a valid range or not. This could lead to issues if a user accidentally inputs an excessively large or negative value for '_decimals'. A proper validation check should be implemented to ensure that the input value for '_decimals' is within a reasonable range.</t>
  </si>
  <si>
    <t xml:space="preserve">priceFor</t>
  </si>
  <si>
    <t xml:space="preserve">The 'priceFor' function takes the '_decimals' parameter as input, and there is no validation to check whether the input value is within a valid range or not. This could lead to issues if a user accidentally inputs an excessively large or negative value for '_decimals'. A proper validation check should be implemented to ensure that the input value for '_decimals' is within a reasonable range.</t>
  </si>
  <si>
    <t xml:space="preserve">recordPaymentFrom</t>
  </si>
  <si>
    <t xml:space="preserve">The function `recordPaymentFrom` is responsible for recording payments made to a project. However, it doesn't handle the case where multiple payments are made simultaneously or in quick succession, which may lead to incorrect balance calculations or race conditions. To resolve this, the function should ensure that the balance calculations are atomic.</t>
  </si>
  <si>
    <t xml:space="preserve">recordDistributionFor, recordUsedAllowanceOf</t>
  </si>
  <si>
    <t xml:space="preserve">The functions `recordDistributionFor` and `recordUsedAllowanceOf` make use of the external price oracle `prices` to convert currencies. The contract assumes that the price oracle returns accurate and up-to-date data. However, the oracle may return outdated data, which may lead to incorrect calculations for distribution and allowance usage. To resolve this, the contract should implement a mechanism to verify the accuracy of the price data or use a reliable price oracle.</t>
  </si>
  <si>
    <t xml:space="preserve">recordRedemptionFor</t>
  </si>
  <si>
    <t xml:space="preserve">The function `recordRedemptionFor` handles the redemption of tokens by users. It calculates the `reclaimAmount` based on the current overflow and the number of tokens being redeemed. However, it doesn't validate the arguments that are passed to the function or the frequency of the redemption requests. This may lead to incorrect calculations or token redemption by malicious actors. To resolve this, the function should validate the input arguments and implement rate limiting or a cooldown mechanism for the redemption process.</t>
  </si>
  <si>
    <t xml:space="preserve">The `priceFor` function relies on external price feeds through the `IJBPriceFeed` interface to fetch the price data. Since the data is coming from external sources, there is a risk of outdated or inaccurate data being returned. To mitigate this risk, the contract should include a mechanism to ensure data freshness, such as checking the timestamp of the latest price update or including a maximum acceptable age for the data.</t>
  </si>
  <si>
    <t xml:space="preserve">The `currentPrice` function retrieves the latest price data from the Chainlink AggregatorV3Interface. Since the data is coming from an external source, there is a risk of outdated or inaccurate data being returned. To mitigate this risk, the contract should include a mechanism to ensure data freshness, such as checking the timestamp of the latest price update or including a maximum acceptable age for the data.</t>
  </si>
  <si>
    <t xml:space="preserve">The deposit function does not validate if the `_amount` is greater than zero. If a user deposits 0 tokens, the contract will still mint stable tokens for the user, which could cause unexpected outcomes.</t>
  </si>
  <si>
    <t xml:space="preserve">Similar to the deposit function, the withdraw function does not validate if the `_amount` is greater than zero. If a user withdraws 0 stable tokens, the contract will still try to transfer tokens to the user, which could cause unexpected outcomes.</t>
  </si>
  <si>
    <t xml:space="preserve">In both deposit and withdraw functions, there is no proper synchronization or atomicity between token transfer and stable token mint/burn. If an error occurs during the minting or burning of stable tokens (e.g., due to a reentrancy attack), it can lead to an imbalance between the tokens in the contract and the stable tokens.</t>
  </si>
  <si>
    <t xml:space="preserve">depositWithPermit</t>
  </si>
  <si>
    <t xml:space="preserve">The depositWithPermit function allows the user to deposit tokens using the permit function to approve the transfer. However, the deposit function is called after the permit function, which means that the tokens have already been approved for transfer. This could lead to a situation where a malicious user can approve an excessive amount of tokens and then call the deposit function multiple times, leading to unexpected behavior.</t>
  </si>
  <si>
    <t xml:space="preserve">listToken, delistToken</t>
  </si>
  <si>
    <t xml:space="preserve">Both the listToken and delistToken functions can only be called by the contract owner. However, there is no mechanism for transferring ownership of the contract or for the owner to renounce their ownership. This means that the owner retains full control over the contract indefinitely, which could lead to centralization and trust issues.</t>
  </si>
  <si>
    <t xml:space="preserve">In the deposit function, the calculation for minting the stable token might lead to unexpected results due to potential rounding errors. The calculation does not take into consideration decimals for the allowed token, which might lead to the user receiving an incorrect amount of stable tokens. To fix this, consider using a more accurate calculation that accounts for the decimals.</t>
  </si>
  <si>
    <t xml:space="preserve">The deposit function does not account for potential slippage or price fluctuations for the tokens. This might lead to incorrect minting of stable tokens as the token price might have changed since the last oracle update. To address this issue, consider using an oracle like Chainlink to fetch the latest token prices before minting the stable tokens.</t>
  </si>
  <si>
    <t xml:space="preserve">In the deposit function, there is a potential vulnerability related to the token's decimals. The function calculates the amount of tigAsset to mint based on the assumption that the `_token` has less than or equal to 18 decimals. If a token with more than 18 decimals is listed and allowed to be deposited, it could result in unexpected calculations and incorrect minting of tigAsset.</t>
  </si>
  <si>
    <t xml:space="preserve">Similar to the deposit function, the withdraw function also assumes that the `_token` has less than or equal to 18 decimals. This could result in incorrect calculations and incorrect token withdrawal amounts.</t>
  </si>
  <si>
    <t xml:space="preserve">true, already take care in other files.</t>
  </si>
  <si>
    <t xml:space="preserve">https://code4rena.com/reports/2021-04-marginswap/#h-02-missing-fromtoken--totoken-check</t>
  </si>
  <si>
    <t xml:space="preserve">https://code4rena.com/reports/2021-04-marginswap/#m-03-no-entry-checks-in-crossswapexacttokensforexacttokens</t>
  </si>
  <si>
    <t xml:space="preserve">false, atomicity. gpt err</t>
  </si>
  <si>
    <t xml:space="preserve">H-04</t>
  </si>
  <si>
    <t xml:space="preserve">https://code4rena.com/reports/2021-04-vader/#h-04-proposals-can-be-cancelled</t>
  </si>
  <si>
    <t xml:space="preserve">H-18</t>
  </si>
  <si>
    <t xml:space="preserve">https://code4rena.com/reports/2021-04-vader/#h-18--vault-rewards-can-be-gamed</t>
  </si>
  <si>
    <t xml:space="preserve">return value</t>
  </si>
  <si>
    <t xml:space="preserve">lib may take care</t>
  </si>
  <si>
    <t xml:space="preserve">false, _nonce works</t>
  </si>
  <si>
    <t xml:space="preserve">Cauldron.sol</t>
  </si>
  <si>
    <t xml:space="preserve">https://code4rena.com/reports/2021-05-yield/#l-01-missing-checks-on-debt-maxmin-limits-could-cause-pour-to-revert</t>
  </si>
  <si>
    <t xml:space="preserve">false, mismatch between function and explan. gpt err</t>
  </si>
  <si>
    <t xml:space="preserve">Ladle.sol</t>
  </si>
  <si>
    <t xml:space="preserve">false, verified already. gpt err</t>
  </si>
  <si>
    <t xml:space="preserve">L-07</t>
  </si>
  <si>
    <t xml:space="preserve">https://code4rena.com/reports/2021-06-tracer/#l-07-using-txgasprice-to-prevent-front-running-may-lead-to-failed-liquidations</t>
  </si>
  <si>
    <t xml:space="preserve">false, require to ensure atomicity</t>
  </si>
  <si>
    <t xml:space="preserve">false, uint must be positive. gpt err</t>
  </si>
  <si>
    <t xml:space="preserve">false, update first. gpt err</t>
  </si>
  <si>
    <t xml:space="preserve">true, low risk. got other problems</t>
  </si>
  <si>
    <t xml:space="preserve">false, impossible</t>
  </si>
  <si>
    <t xml:space="preserve">false, tx are atomic by default</t>
  </si>
  <si>
    <t xml:space="preserve">false, modifier limits the quota.</t>
  </si>
  <si>
    <t xml:space="preserve">false, take care by solidity</t>
  </si>
  <si>
    <t xml:space="preserve">false, check firs already.</t>
  </si>
  <si>
    <t xml:space="preserve">false, atomicity by default</t>
  </si>
  <si>
    <t xml:space="preserve">false, always transparent</t>
  </si>
  <si>
    <t xml:space="preserve">false, only owner call. gpt err</t>
  </si>
  <si>
    <t xml:space="preserve">MixinPurchase.sol</t>
  </si>
  <si>
    <t xml:space="preserve">false, constrained already.</t>
  </si>
  <si>
    <t xml:space="preserve">MixinRefunds.sol</t>
  </si>
  <si>
    <t xml:space="preserve">L-10</t>
  </si>
  <si>
    <t xml:space="preserve">https://code4rena.com/reports/2021-12-sublime/#h-07-savingsaccount-withdrawall-and-switchstrategy-can-freeze-user-funds-by-ignoring-possible-strategy-liquidity-issues</t>
  </si>
  <si>
    <t xml:space="preserve">false, already constrained by solidity</t>
  </si>
  <si>
    <t xml:space="preserve">false, no update. gpt err</t>
  </si>
  <si>
    <t xml:space="preserve">false, view function doesn't change state. gpt err</t>
  </si>
  <si>
    <t xml:space="preserve">false, atomicity by default. gpt err</t>
  </si>
  <si>
    <t xml:space="preserve">false, nonrelevant</t>
  </si>
  <si>
    <t xml:space="preserve">false, 0 if deactivated.</t>
  </si>
  <si>
    <t xml:space="preserve">true, checked in other files</t>
  </si>
  <si>
    <t xml:space="preserve">false, nonrelevant. gpt err</t>
  </si>
  <si>
    <t xml:space="preserve">false, no arithmetic operation</t>
  </si>
  <si>
    <t xml:space="preserve">false, constrained already. gpt err</t>
  </si>
  <si>
    <t xml:space="preserve">false, impossible. gpt err</t>
  </si>
  <si>
    <t xml:space="preserve">In the `makeOffer` function, the function call to `feth.marketLockupFor{ value: msg.value }(msg.sender, amount)` and `feth.marketChangeLockup{ value: msg.value }(...)` both use `msg.value` as the value for the function call. If the caller provides an unexpected value in `msg.value`, it could lead to incorrect locking of funds or potentially disrupt the contract</t>
  </si>
  <si>
    <t xml:space="preserve">NFTMarketBuyPrice.sol</t>
  </si>
  <si>
    <t xml:space="preserve">false, positive by default. gpt err</t>
  </si>
  <si>
    <t xml:space="preserve">M-01</t>
  </si>
  <si>
    <t xml:space="preserve">https://code4rena.com/reports/2022-05-sturdy/#m-01-possible-lost-msgvalue</t>
  </si>
  <si>
    <t xml:space="preserve">true, take care in other files</t>
  </si>
  <si>
    <t xml:space="preserve">false, impossible negative. gpt err</t>
  </si>
  <si>
    <t xml:space="preserve">false, impossible.</t>
  </si>
  <si>
    <t xml:space="preserve">false, already take care. gpt err</t>
  </si>
  <si>
    <t xml:space="preserve">false, take care already.</t>
  </si>
  <si>
    <t xml:space="preserve">Column2</t>
  </si>
  <si>
    <t xml:space="preserve">The _burn function uses the error message "address err" in the require statement, which is not descriptive enough to understand the specific issue it checks for. It should use a more specific error message like "burn from the zero address" to make it clearer.</t>
  </si>
  <si>
    <t xml:space="preserve">Unlimited Approval</t>
  </si>
  <si>
    <t xml:space="preserve">The approve function allows for unlimited approval, which could potentially be exploited by attackers in combination with the transferFrom function. An attacker may repeatedly call transferFrom before the token owner has a chance to modify their allowance, draining more tokens than initially intended. To mitigate this risk, it is recommended to first set the allowance to 0 before setting it to a new amount.</t>
  </si>
  <si>
    <t xml:space="preserve">Unprotected function call</t>
  </si>
  <si>
    <t xml:space="preserve">The `init` function can be called by any address, not just the DAO or the contract owner. This can lead to unauthorized setting of key contract addresses, which may lead to loss of funds or other unintended consequences. To fix this issue, add a modifier that only allows the contract owner or the DAO to call the `init` function.</t>
  </si>
  <si>
    <t xml:space="preserve">The `grant` function can only be called by the DAO, but there is no additional protection against potential governance attacks. To increase security, consider adding a timelock or multisig to the function, so that grants are not executed immediately and have a chance to be reviewed by the community.</t>
  </si>
  <si>
    <t xml:space="preserve">Incorrect function visibility</t>
  </si>
  <si>
    <t xml:space="preserve">The function _deposit is declared as internal, but it should be private, as it's not intended to be called from derived contracts. Changing it to private will further restrict access and prevent unintended calls.</t>
  </si>
  <si>
    <t xml:space="preserve">Use of unsafe `approve` function</t>
  </si>
  <si>
    <t xml:space="preserve">The function `fulfill` uses the `LibERC20.approve` function to set allowances for ERC20 tokens. This function might be prone to allowance race conditions if the allowance is not set to zero before updating it to a new non-zero value. Consider using a safe approval pattern or the `increaseAllowance` and `decreaseAllowance` functions instead.</t>
  </si>
  <si>
    <t xml:space="preserve">Unnecessary use of max allowance</t>
  </si>
  <si>
    <t xml:space="preserve">In the `approveAndCall` function, the user's allowance is set to the maximum possible value. This may pose a security risk, as it effectively grants unlimited approval to the recipient. Instead, the function should only approve the specified `amount`.</t>
  </si>
  <si>
    <t xml:space="preserve">The `mintSynth` function is missing an event to notify external parties that a new synthetic token has been minted. It is essential to emit an event such as `MintSynth` to ensure transparency and traceability of synthetic token minting operations.</t>
  </si>
  <si>
    <t xml:space="preserve">addFee</t>
  </si>
  <si>
    <t xml:space="preserve">Unbounded loop</t>
  </si>
  <si>
    <t xml:space="preserve">The `addFee` function contains a loop that iterates through the `revenueArray`. Since there is no explicit length check or limitation on the length of `revenueArray`, an attacker could potentially increase the length of the array causing the loop to consume a large amount of gas leading to a Denial of Service (DoS) attack. Consider adding an explicit length check or limit to the `revenueArray` to mitigate this issue.</t>
  </si>
  <si>
    <t xml:space="preserve">_addPoolMetrics</t>
  </si>
  <si>
    <t xml:space="preserve">Timestamp dependence</t>
  </si>
  <si>
    <t xml:space="preserve">The `_addPoolMetrics` function uses `block.timestamp` to check for the passage of time (lastMonth and 2592000). Miners can manipulate the block timestamp within a certain range, which could potentially lead to unexpected behavior in the contract.</t>
  </si>
  <si>
    <t xml:space="preserve">approveAndCall, transferAndCall</t>
  </si>
  <si>
    <t xml:space="preserve">In the approveAndCall and transferAndCall functions, there is an external call to iBEP677(recipient).onTokenApproval and iBEP677(recipient).onTokenTransfer functions. There is no check for the return value of these calls, which may lead to potential issues if the external contract returns an unexpected value or fails.</t>
  </si>
  <si>
    <t xml:space="preserve">_handleTransferOut</t>
  </si>
  <si>
    <t xml:space="preserve">In the _handleTransferOut function, the external call payable(_recipient).call{value</t>
  </si>
  <si>
    <t xml:space="preserve">_amount}(""); does not check for the success of the call. This might lead to a situation where the transfer of funds fails silently without reverting the transaction, potentially causing loss of funds or other unexpected behavior.</t>
  </si>
  <si>
    <t xml:space="preserve">getsDividend</t>
  </si>
  <si>
    <t xml:space="preserve">Function visibility</t>
  </si>
  <si>
    <t xml:space="preserve">The getsDividend function is marked as internal but is not used by any other function within the contract. This might be a design flaw as the function is not utilized, and it could potentially be removed or its visibility changed to match the intended use.</t>
  </si>
  <si>
    <t xml:space="preserve">_handleTransferIn</t>
  </si>
  <si>
    <t xml:space="preserve">Incorrect implementation of WBNB deposit and withdrawal</t>
  </si>
  <si>
    <t xml:space="preserve">The _handleTransferIn function tries to deposit native BNB into the WBNB contract by calling payable(WBNB).call{value</t>
  </si>
  <si>
    <t xml:space="preserve">_amount}("");. This is not the correct way to deposit BNB into WBNB. Instead, it should be done using the deposit function provided by the WBNB contract (i.e., iWBNB(WBNB).deposit{value</t>
  </si>
  <si>
    <t xml:space="preserve">_amount}();).</t>
  </si>
  <si>
    <t xml:space="preserve">_approve</t>
  </si>
  <si>
    <t xml:space="preserve">No checks on approval amount</t>
  </si>
  <si>
    <t xml:space="preserve">The '_approve' function does not check if the new allowance amount is greater than or equal to the current allowance amount. An attacker can exploit this by front-running a user's transaction to set the allowance to a smaller value, and then, once the user's transaction is executed, setting the allowance back to a larger value. This can lead to unexpected behavior and potential token theft.</t>
  </si>
  <si>
    <t xml:space="preserve">No synchronization between internal and external token balances</t>
  </si>
  <si>
    <t xml:space="preserve">The 'sync' function updates the internal state (baseAmount and tokenAmount) of the contract to match the external token balances. This function can be called by anyone, and there are no checks in place to prevent external manipulation of token balances between the sync function call and other contract functions that rely on these balances. This can lead to unexpected behavior and potential loss of tokens.</t>
  </si>
  <si>
    <t xml:space="preserve">The '_addPoolMetrics' function is marked as 'internal', which means it can only be called from within the contract. However, it does not have any checks in place to prevent misuse by other internal functions. It's best to mark the function as 'private' to ensure it's only callable by the specific functions that require it.</t>
  </si>
  <si>
    <t xml:space="preserve">Missing implementation of init function</t>
  </si>
  <si>
    <t xml:space="preserve">The init function is declared but has an empty implementation. This is likely an oversight or incomplete implementation. It should be properly implemented or removed if not needed.</t>
  </si>
  <si>
    <t xml:space="preserve">initToken</t>
  </si>
  <si>
    <t xml:space="preserve">Redundant function declarations</t>
  </si>
  <si>
    <t xml:space="preserve">There are two initToken functions with different input parameters. One of them accepts a bytes calldata parameter and decodes it, while the other one accepts individual parameters. The first function seems redundant since the second one can be used directly. This redundancy might lead to confusion or unexpected behavior.</t>
  </si>
  <si>
    <t xml:space="preserve">delegate</t>
  </si>
  <si>
    <t xml:space="preserve">Missing return statement in delegate function</t>
  </si>
  <si>
    <t xml:space="preserve">The delegate function is declared with a return type, but it doesn't have a return statement. The return statement should be added or the return type should be removed if not needed.</t>
  </si>
  <si>
    <t xml:space="preserve">Incorrect comment in mint function</t>
  </si>
  <si>
    <t xml:space="preserve">The comment in the mint function states that it must only be called by the owner (MasterChef), but the function actually checks for the MINTER_ROLE. The comment should be updated to reflect the accurate requirement for the MINTER_ROLE.</t>
  </si>
  <si>
    <t xml:space="preserve">Unprotected function</t>
  </si>
  <si>
    <t xml:space="preserve">The 'initToken' function is marked public, which means anyone can call it. This could allow a malicious actor to reinitialize the token, change the token's name, symbol, and owner, and mint an arbitrary initial supply. To fix this issue, change the visibility of the 'initToken' function from public to internal.</t>
  </si>
  <si>
    <t xml:space="preserve">The 'initToken' function is called in the 'initToken' function with bytes calldata parameter. This function is also marked as public, which allows any external caller to reinitialize the token. This could lead to the same issues mentioned in Sequence 1. Changing the visibility of the 'initToken' function from public to internal would resolve this issue as well.</t>
  </si>
  <si>
    <t xml:space="preserve">External Calls</t>
  </si>
  <si>
    <t xml:space="preserve">The function flashSwap makes an external call to the ITridentCallee(msg.sender).tridentSwapCallback(context) function. This is a potential vulnerability, as the callee function can be maliciously implemented, allowing the attacker to manipulate the state of the contract. To mitigate this risk, it is advised to use the "check-effects-interactions" pattern and perform any external calls at the end of the function, after updating the contract's state.</t>
  </si>
  <si>
    <t xml:space="preserve">30_2</t>
  </si>
  <si>
    <t xml:space="preserve">Various functions</t>
  </si>
  <si>
    <t xml:space="preserve">Centralization risk</t>
  </si>
  <si>
    <t xml:space="preserve">The contract relies heavily on the strategist role, which introduces centralization risks. Functions such as `inCaseTokensGetStuck`, `inCaseStrategyGetStuck`, `setInvestEnabled`, `setMaxStrategies`, and others can only be called by the strategist, giving them significant control over the contract. It may be worth considering a more decentralized governance model or introducing multi-signature capabilities to mitigate this risk.</t>
  </si>
  <si>
    <t xml:space="preserve">insert, remove</t>
  </si>
  <si>
    <t xml:space="preserve">The `insert` and `remove` functions are declared as public functions, but they should be internal functions. These functions are part of the library and should not be exposed to external callers.</t>
  </si>
  <si>
    <t xml:space="preserve">Function Visibility</t>
  </si>
  <si>
    <t xml:space="preserve">The `_transfer` function is an internal helper function that should not be exposed to external callers. It is not declared within the given smart contract but is assumed to be in one of the imported contracts. It should be declared as an internal function to prevent external access.</t>
  </si>
  <si>
    <t xml:space="preserve">_getAssets</t>
  </si>
  <si>
    <t xml:space="preserve">The `_getAssets` function is an internal helper function that should not be exposed to external callers. It should be declared as an internal function to prevent external access.</t>
  </si>
  <si>
    <t xml:space="preserve">The `_transfer` function is an internal helper function that should not be exposed to external callers. It should be declared as an internal function to prevent external access.</t>
  </si>
  <si>
    <t xml:space="preserve">subscribe(), claimReward(), and getReward()</t>
  </si>
  <si>
    <t xml:space="preserve">Incorrect use of positionId as incentiveId</t>
  </si>
  <si>
    <t xml:space="preserve">In the `subscribe()`, `claimReward()`, and `getReward()` functions, `positionId` is used to access the incentive instead of `incentiveId`. This can lead to incorrect incentives being accessed, causing unexpected behavior or vulnerabilities. The correct implementation should use `incentiveId` to access the incentives mapping.</t>
  </si>
  <si>
    <t xml:space="preserve">getMaxLiquidity()</t>
  </si>
  <si>
    <t xml:space="preserve">Function visibility mismatch</t>
  </si>
  <si>
    <t xml:space="preserve">The `getMaxLiquidity()` function is marked as internal, but it is not used in the same contract or inherited by another contract. If it is intended to be a utility function that should be accessible by other contracts, the visibility should be changed to public or external. If it is not meant to be used by other contracts, it can be removed or marked as private.</t>
  </si>
  <si>
    <t xml:space="preserve">send, sendTransfer, sendTxns</t>
  </si>
  <si>
    <t xml:space="preserve">Incorrect nonce handling</t>
  </si>
  <si>
    <t xml:space="preserve">In the send, sendTransfer, and sendTxns functions, the nonces are incremented before performing any validations or actions. This can lead to nonce skipping and incorrect nonce values being used for subsequent transactions. To prevent this, increment the nonce after all validations and actions have been performed successfully.</t>
  </si>
  <si>
    <t xml:space="preserve">41_1</t>
  </si>
  <si>
    <t xml:space="preserve">No timelock implementation</t>
  </si>
  <si>
    <t xml:space="preserve">The contract lacks a timelock implementation for sensitive functions such as 'startAuction', 'killAuction', and 'initialize'. This allows the owner or privileged accounts to execute these functions without any delay, potentially causing harm to the contract's users.</t>
  </si>
  <si>
    <t xml:space="preserve">withdrawBounty</t>
  </si>
  <si>
    <t xml:space="preserve">No upper bound checks</t>
  </si>
  <si>
    <t xml:space="preserve">The function 'withdrawBounty' is missing upper bound checks on 'bountyIds' array elements. This could result in accessing an invalid index, causing a revert due to an out-of-bounds access.</t>
  </si>
  <si>
    <t xml:space="preserve">changeMochi, changeVMochi, changeUSDM, changeMinter, changeGovernance, changeTreasury, changeOperationWallet, changeCSSR, changeProfile, changeDiscountProfile, changeLiquidator, changeFeePool, changeReferralFeePool, changeNFT</t>
  </si>
  <si>
    <t xml:space="preserve">Lack of events</t>
  </si>
  <si>
    <t xml:space="preserve">There are no events being emitted in the various "change" functions. It is considered a best practice to emit events when updating state variables to make it easier for off-chain systems to track changes.</t>
  </si>
  <si>
    <t xml:space="preserve">changeGovernance, changeTreasury, changeOperationWallet</t>
  </si>
  <si>
    <t xml:space="preserve">Although the contract has a governance system in place, there is a risk of centralization as the same address has the power to change the governance, treasury, and operation wallet addresses. It would be recommended to use a decentralized governance system (e.g., multisig or a DAO) to avoid single points of failure and potential abuse of power.</t>
  </si>
  <si>
    <t xml:space="preserve">changecrvVoterRewardPool, changeTreasuryRatio, changevMochiRatio, sendToTreasury</t>
  </si>
  <si>
    <t xml:space="preserve">There are no events being emitted in the various "change" functions and the `sendToTreasury` function. It is considered a best practice to emit events when updating state variables or when executing important actions to make it easier for off-chain systems to track changes.</t>
  </si>
  <si>
    <t xml:space="preserve">Insecure approval for token transfer</t>
  </si>
  <si>
    <t xml:space="preserve">In the `_buyMochi` function, the contract approves the uniswap router to spend an amount of USDM equal to `mochiShare`. However, this approval is not revoked or reduced after the swap, which could lead to potential risks if the uniswap router is compromised or has a vulnerability. To minimize risks, it is recommended to only approve the exact amount required for the swap and revoke the approval after the swap is executed.</t>
  </si>
  <si>
    <t xml:space="preserve">changeGovernance, changeTreasury, changeOperationWallet, changeCSSR, changeProfile, changeDiscountProfile, changeLiquidator, changeFeePool, changeReferralFeePool, changeNFT</t>
  </si>
  <si>
    <t xml:space="preserve">All the change* functions can only be called by the current governance address (onlyGov modifier is applied), creating a centralization risk. If the governance address is compromised, an attacker could potentially change critical components of the system. A potential solution to mitigate this risk is to implement a multisig wallet or a decentralized governance mechanism like a DAO.</t>
  </si>
  <si>
    <t xml:space="preserve">changecrvVoterRewardPool, changeTreasuryRatio, changevMochiRatio</t>
  </si>
  <si>
    <t xml:space="preserve">The functions changecrvVoterRewardPool, changeTreasuryRatio, and changevMochiRatio can only be called by the current governance address, creating a centralization risk. If the governance address is compromised, an attacker could potentially change critical components of the system. A potential solution to mitigate this risk is to implement a multisig wallet or a decentralized governance mechanism like a DAO.</t>
  </si>
  <si>
    <t xml:space="preserve">sendToTreasury</t>
  </si>
  <si>
    <t xml:space="preserve">No approval check for USDM token</t>
  </si>
  <si>
    <t xml:space="preserve">The function sendToTreasury transfers the USDM token directly to the treasury without checking if the contract has enough allowance to make the transfer. It is recommended to add a check to ensure that the contract has enough allowance to transfer the USDM token to the treasury.</t>
  </si>
  <si>
    <t xml:space="preserve">Missing event logs</t>
  </si>
  <si>
    <t xml:space="preserve">The functions 'changecrvVoterRewardPool()', 'changeTreasuryRatio()', and 'changevMochiRatio()' lack event logs to notify the users of the contract about the changes made. It is recommended to emit events whenever the contract state is modified so that users can monitor and track these changes.</t>
  </si>
  <si>
    <t xml:space="preserve">All the change functions in the MochiEngine contract lack event logs to notify users of the contract about the changes made. It is recommended to emit events whenever the contract state is modified so that users can monitor and track these changes.</t>
  </si>
  <si>
    <t xml:space="preserve">The MochiEngine contract relies on a single governance address to control all the change functions. While it is common for a contract to have a governance address, it may be beneficial to implement a decentralized governance mechanism such as a multisig wallet or a DAO to reduce the risks associated with centralized control.</t>
  </si>
  <si>
    <t xml:space="preserve">Incomplete Initialization</t>
  </si>
  <si>
    <t xml:space="preserve">The constructor initializes the vaultFactory, governance, and operationWallet, but other contract components like mochi, vMochi, usdm, minter, cssr, mochiProfile, discountProfile, liquidator, feePool, referralFeePool, and nft are not initialized in the constructor. This leaves the contract in an incomplete state after deployment, and proper initialization is left to the governance address. To mitigate this risk, the constructor could require these components as input arguments and initialize them during deployment.</t>
  </si>
  <si>
    <t xml:space="preserve">Inaccurate comment</t>
  </si>
  <si>
    <t xml:space="preserve">The comments for the transfer and transferFrom functions mention that the _balances mapping represents the underlying ibBTC shares ("non-rebased balances"). However, this comment may be misleading as _balances actually represent the wrapped ibBTC (wibBTC) shares, not the underlying ibBTC shares.</t>
  </si>
  <si>
    <t xml:space="preserve">Use of now</t>
  </si>
  <si>
    <t xml:space="preserve">The 'updatePricePerShare' function uses the 'now' keyword to get the current timestamp. The 'now' keyword is an alias for 'block.timestamp', which can be manipulated by miners to some extent. It is recommended to use a more reliable source of time, such as a trusted oracle or other external sources.</t>
  </si>
  <si>
    <t xml:space="preserve">Missing events</t>
  </si>
  <si>
    <t xml:space="preserve">The 'mint' and 'burn' functions lack events for logging important actions. It is recommended to emit events when significant state changes occur, such as minting or burning tokens. This provides a transparent and auditable record of the contract's actions for users and developers. Add appropriate events in the 'mint' and 'burn' functions to track these state changes.</t>
  </si>
  <si>
    <t xml:space="preserve">Uninitialized storage pointer</t>
  </si>
  <si>
    <t xml:space="preserve">In the mintSynth function, when the synth does not exist, a new synth is created but the newly created synth is not assigned to the synth variable. This will lead to the usage of an uninitialized storage pointer in the subsequent code execution, which may result in unexpected behavior.</t>
  </si>
  <si>
    <t xml:space="preserve">Incorrect initialization check</t>
  </si>
  <si>
    <t xml:space="preserve">In the constructor, the check for the input _pool address uses an incorrect comparison to the zero address, which should be compared to the address(0).</t>
  </si>
  <si>
    <t xml:space="preserve">ensure</t>
  </si>
  <si>
    <t xml:space="preserve">Unsafe deadline check</t>
  </si>
  <si>
    <t xml:space="preserve">The ensure modifier checks if the deadline has not passed with the expression "deadline &gt;= block.timestamp". This can lead to incorrect results when the timestamp overflows. The check should be "block.timestamp &lt;= deadline".</t>
  </si>
  <si>
    <t xml:space="preserve">addLiquidity (the second one)</t>
  </si>
  <si>
    <t xml:space="preserve">Inefficient code</t>
  </si>
  <si>
    <t xml:space="preserve">The addLiquidity function has two versions, one of which is just a wrapper for the other. The wrapper function is marked as "NOTE</t>
  </si>
  <si>
    <t xml:space="preserve">For Uniswap V2 compliancy, necessary due to stack too deep", but it is not necessary, as the underlying addLiquidity function is already compliant with Uniswap V2. This leads to increased gas costs when using the wrapper function.</t>
  </si>
  <si>
    <t xml:space="preserve">toggleQueue</t>
  </si>
  <si>
    <t xml:space="preserve">Unprotected internal state</t>
  </si>
  <si>
    <t xml:space="preserve">The toggleQueue function can be called by the contract owner to change the queueActive state. This allows the contract owner to change the contract's behavior at will, which might not be desirable for a decentralized application.</t>
  </si>
  <si>
    <t xml:space="preserve">The setTokenSupport function can be called by the contract owner to change the supported state of a token. This allows the contract owner to change the contract's behavior at will, which might not be desirable for a decentralized application.</t>
  </si>
  <si>
    <t xml:space="preserve">setFungibleTokenSupport</t>
  </si>
  <si>
    <t xml:space="preserve">The setFungibleTokenSupport function can be called by the contract owner to create a wrapper for a foreignAsset. This allows the contract owner to change the contract's behavior at will, which might not be desirable for a decentralized application.</t>
  </si>
  <si>
    <t xml:space="preserve">Incorrect Path Check</t>
  </si>
  <si>
    <t xml:space="preserve">The check for path[0] != path[1] &amp;&amp; path[1] == pool.nativeAsset() &amp;&amp; path[2] != path[1] in the _swap function does not consider the possibility of path[0] == path[2]. This could lead to unexpected behavior, as the user may mistakenly provide the same token as input and output in a double swap operation, leading to potential loss of funds.</t>
  </si>
  <si>
    <t xml:space="preserve">Unused Parameters</t>
  </si>
  <si>
    <t xml:space="preserve">The addLiquidity function has two unused parameters, amountAMin and amountBMin. While this does not pose any security risk, it could be misleading for users trying to understand the function's behavior. It is recommended to remove these parameters if they are not intended to be used, or to implement the intended behavior if they are meant to serve a purpose.</t>
  </si>
  <si>
    <t xml:space="preserve">Incorrect Balance Check</t>
  </si>
  <si>
    <t xml:space="preserve">The `rescue` function allows the contract owner to withdraw any "unaccounted" tokens that are not part of the reserveForeign. However, the function doesn't check whether the contract owner is the one invoking the function. It is possible that anyone can call this function and potentially withdraw the unaccounted tokens. To fix this issue, you can add a modifier like `onlyOwner` to ensure that only the contract owner can call the `rescue` function.</t>
  </si>
  <si>
    <t xml:space="preserve">Incorrect Wrapper Initialization Check</t>
  </si>
  <si>
    <t xml:space="preserve">The initialization function checks if `wrapper` is equal to the zero address instead of checking if it has already been initialized. This could potentially allow the contract to be re-initialized, leading to unexpected behavior.</t>
  </si>
  <si>
    <t xml:space="preserve">Loss of Funds</t>
  </si>
  <si>
    <t xml:space="preserve">The `burn` function does not send the covered loss back to the user. The `coveredLoss` is calculated but not transferred, which could result in the loss of funds for the user.</t>
  </si>
  <si>
    <t xml:space="preserve">Incomplete Function</t>
  </si>
  <si>
    <t xml:space="preserve">The `toggleQueue` function changes the state of `queueActive`, but there is no actual implementation to utilize the queue system. This function does not have any impact on the contract's behavior, and the queue system remains unused.</t>
  </si>
  <si>
    <t xml:space="preserve">In the _swap function, the checks performed on the path array elements are insufficient. There is no validation to ensure that the tokens in the path array are supported by the Vader pools. A check using `pool.supported(token)` should be included for both foreign assets to ensure that the swap occurs only for supported tokens in the Vader pools.</t>
  </si>
  <si>
    <t xml:space="preserve">setTimelock</t>
  </si>
  <si>
    <t xml:space="preserve">Incorrect function modifiers</t>
  </si>
  <si>
    <t xml:space="preserve">The function 'setTimelock' should have the 'onlyGuardian' modifier, to ensure that only the guardian can set the timelock address. However, it currently does not have any modifier. This means that any address can potentially change the timelock address, which can lead to a security risk.</t>
  </si>
  <si>
    <t xml:space="preserve">veto</t>
  </si>
  <si>
    <t xml:space="preserve">The 'veto' function should validate that the proposal has not been executed or canceled before allowing it to be vetoed. Currently, it only checks if the proposal is in 'Active' or 'Pending' state, but it does not consider the 'canceled' or 'executed' state of the proposal. This can potentially lead to a scenario where a veto is performed on an already executed or canceled proposal, which should not be allowed.</t>
  </si>
  <si>
    <t xml:space="preserve">53_1</t>
  </si>
  <si>
    <t xml:space="preserve">sendFees, sendFeesWithRoyalties</t>
  </si>
  <si>
    <t xml:space="preserve">Incorrect use of SafeERC20</t>
  </si>
  <si>
    <t xml:space="preserve">When using SafeERC20 library to handle ERC20 tokens, it should be used consistently throughout the entire contract. However, the `sendFees` and `sendFeesWithRoyalties` functions use `IERC20(_token).safeTransferFrom()` instead of `_token.safeTransferFrom()`. The correct usage should be `_token.safeTransferFrom(_msgSender(), address(this), _amount);`.</t>
  </si>
  <si>
    <t xml:space="preserve">53_2</t>
  </si>
  <si>
    <t xml:space="preserve">findShareholder</t>
  </si>
  <si>
    <t xml:space="preserve">The findShareholder function contains a for loop that iterates over the shareholders array. As the number of shareholders grows, the loop could become gas-expensive and eventually exceed the block gas limit, making it impossible to execute the function. A possible solution to mitigate this issue is to implement a mapping to store shareholder indices, allowing the function to access shareholder information in constant time.</t>
  </si>
  <si>
    <t xml:space="preserve">_sendFees</t>
  </si>
  <si>
    <t xml:space="preserve">Unallocated tokens</t>
  </si>
  <si>
    <t xml:space="preserve">The _sendFees function calculates the shares for each shareholder and updates the totalShares variable. However, due to the potential rounding errors in the _computeShareCount function, there might be a small amount of unallocated tokens left after the distribution. To fix this issue, the contract could keep track of the remaining balance after distributing the shares and allocate the leftover tokens in a fair manner, such as proportionally to the shareholders' weights.</t>
  </si>
  <si>
    <t xml:space="preserve">removeOperator</t>
  </si>
  <si>
    <t xml:space="preserve">In the removeOperator function, there is a while loop that searches for the operator to remove. However, there is no boundary check in the loop, so it can potentially run indefinitely if the operator is not found. To fix this issue, add a boundary check within the loop, and handle the case where the operator is not found appropriately.</t>
  </si>
  <si>
    <t xml:space="preserve">53_3</t>
  </si>
  <si>
    <t xml:space="preserve">_transferToReserveAndStore</t>
  </si>
  <si>
    <t xml:space="preserve">The `_transferToReserveAndStore` function uses `IERC20(_token).safeTransfer(address(reserve), _amount)` to transfer tokens to the reserve address. The SafeERC20 library should be used here instead to ensure proper handling of potential issues, such as non-standard ERC20 token implementations.</t>
  </si>
  <si>
    <t xml:space="preserve">getAmountDue</t>
  </si>
  <si>
    <t xml:space="preserve">Incorrect ETH address usage</t>
  </si>
  <si>
    <t xml:space="preserve">The function getAmountDue uses the IERC20 interface to represent the token, but also uses it to represent ETH. Since ETH isn't an ERC20 token, this would result in incorrect behavior when querying for the amount due in ETH.</t>
  </si>
  <si>
    <t xml:space="preserve">upgradeLock</t>
  </si>
  <si>
    <t xml:space="preserve">Unprotected Function</t>
  </si>
  <si>
    <t xml:space="preserve">The function 'upgradeLock()' does not check if the implementation address for the new version is a valid address. This can lead to potential issues while upgrading the lock. To fix this issue, add a check to ensure that the implementation address is valid (not zero) before upgrading the lock.</t>
  </si>
  <si>
    <t xml:space="preserve">resetTrackedValue</t>
  </si>
  <si>
    <t xml:space="preserve">Unchecked External Calls</t>
  </si>
  <si>
    <t xml:space="preserve">The function 'resetTrackedValue()' allows the owner to arbitrarily change the grossNetworkProduct and totalDiscountGranted values. This could be a potential issue if the owner tries to manipulate the contract state. Consider adding a more secure way to update these values, like through a consensus mechanism or based on specific events that occur in the contract.</t>
  </si>
  <si>
    <t xml:space="preserve">Slippage tolerance not adjustable</t>
  </si>
  <si>
    <t xml:space="preserve">The `addLiquidity` function has a hardcoded slippage tolerance (95%). This lack of configurability might not suit all users and could lead to unintended consequences in certain market conditions. To address this issue, it is recommended to make slippage tolerance adjustable by either the contract owner or allowing users to specify their desired tolerance when calling the function.</t>
  </si>
  <si>
    <t xml:space="preserve">setThreshold</t>
  </si>
  <si>
    <t xml:space="preserve">Incorrect error message</t>
  </si>
  <si>
    <t xml:space="preserve">In the `setThreshold` function, the error message "Threshold must be between 0-100%" is incorrect, as the threshold must be between 0 (exclusive) and 10000 (inclusive), as per the condition `require(newThreshold &gt; 0 &amp;&amp; newThreshold &lt; 10000, "Threshold must be between 0-100%");`.</t>
  </si>
  <si>
    <t xml:space="preserve">setPool</t>
  </si>
  <si>
    <t xml:space="preserve">In the `setPool` function, the error message "Cannot have 0 lookback" is incorrect, as the error is related to setting the pool address and not the lookback. The error message should be something like "Cannot have zero address pool."</t>
  </si>
  <si>
    <t xml:space="preserve">depositTo, withdrawTo, resolveShortfall, claimFee</t>
  </si>
  <si>
    <t xml:space="preserve">Unsafe token transfer</t>
  </si>
  <si>
    <t xml:space="preserve">The functions `depositTo`, `withdrawTo`, `resolveShortfall`, and `claimFee` use the custom `Token18` library for pulling and pushing token transfers. It is not possible to review this library, so there is a potential risk if the `Token18` library does not properly handle token transfers in a safe manner. It is recommended to use OpenZeppelin's SafeERC20 library to ensure the safe handling of token transfers.</t>
  </si>
  <si>
    <t xml:space="preserve">Potential DoS</t>
  </si>
  <si>
    <t xml:space="preserve">The `depositTo`, `withdrawTo`, `resolveShortfall`, and `claimFee` functions use the custom `Token18` library for pulling and pushing token transfers. If the token contract does not follow the ERC20 standard and does not return a boolean value or reverts on failure, these functions may be vulnerable to a denial-of-service attack. Using OpenZeppelin's SafeERC20 library can mitigate this risk.</t>
  </si>
  <si>
    <t xml:space="preserve">directSavingsAccountDeposit</t>
  </si>
  <si>
    <t xml:space="preserve">The `safeApprove` function from the SafeERC20 library is used in the `directSavingsAccountDeposit` function. However, there is no check to ensure that the current allowance is zero before calling the `safeApprove` function. This can lead to issues with certain ERC20 token implementations that require the allowance to be set to zero before updating it. This can be mitigated by adding a check to ensure that the current allowance is zero before calling the `safeApprove` function.</t>
  </si>
  <si>
    <t xml:space="preserve">69_3</t>
  </si>
  <si>
    <t xml:space="preserve">transferFromERC721</t>
  </si>
  <si>
    <t xml:space="preserve">Incorrect approval check in 'transferFromERC721'</t>
  </si>
  <si>
    <t xml:space="preserve">The 'transferFromERC721' function checks for ownership of the CryptoKitties and CryptoPunks NFTs but doesn't check for approvals before attempting to transfer them. An attacker could potentially use this oversight to manipulate the state of the contract and cause unexpected behavior.</t>
  </si>
  <si>
    <t xml:space="preserve">_addLiquidity721WETH, _addLiquidity1155WETH</t>
  </si>
  <si>
    <t xml:space="preserve">The '_addLiquidity721WETH' and '_addLiquidity1155WETH' functions contain loops that iterate through the input arrays. The size of the input arrays is not limited, which can lead to high gas costs and potential denial of service attacks.</t>
  </si>
  <si>
    <t xml:space="preserve">Incorrect update period validation</t>
  </si>
  <si>
    <t xml:space="preserve">In both functions _addVaderPair and _addUSDVPair, the updatePeriod is checked to ensure that it is not zero. However, there is no upper bound check for the updatePeriod, which could lead to excessive update periods and potential abuse or incorrect price updates.</t>
  </si>
  <si>
    <t xml:space="preserve">_min</t>
  </si>
  <si>
    <t xml:space="preserve">Incorrect Function Visibility</t>
  </si>
  <si>
    <t xml:space="preserve">The function '_min' is marked as private, but it could be marked as pure internal to make it more reusable within the contract and its derived contracts. The function is pure because it does not modify the contract's state, and it should be internal to allow its reuse in derived contracts. To fix this, change the visibility of the '_min' function from private to internal.</t>
  </si>
  <si>
    <t xml:space="preserve">Inaccurate Weighted Average Calculation</t>
  </si>
  <si>
    <t xml:space="preserve">In both _calculateVaderPrice and _calculateUSDVPrice functions, the totalUSD and totalVader (or totalUSDV) variables are calculated iteratively without intermediate overflow checks. An attacker could potentially manipulate liquidityWeights or prices to trigger an overflow, leading to incorrect average price calculations.</t>
  </si>
  <si>
    <t xml:space="preserve">Incorrect constructor parameters</t>
  </si>
  <si>
    <t xml:space="preserve">The `constructor` function sets the `VOTING_PERIOD` as an immutable variable, but it allows the caller to set it to 0. In case the `votingPeriod_` parameter is 0, the `VOTING_PERIOD` is set to 17280. It is recommended to use a require statement to enforce a minimum `votingPeriod_` value instead of silently changing it to a default value.</t>
  </si>
  <si>
    <t xml:space="preserve">Incorrect check for uninitialized state</t>
  </si>
  <si>
    <t xml:space="preserve">In the `initialize` function, the check for uninitialized state is performed using `wrapper == ILPWrapper(_ZERO_ADDRESS)`, but it should be performed with `address(wrapper) == _ZERO_ADDRESS` instead. The current implementation checks if the object instances are equal, which is not the intended behavior.</t>
  </si>
  <si>
    <t xml:space="preserve">Double transfer</t>
  </si>
  <si>
    <t xml:space="preserve">In the `transferAndCall` function, there is a double transfer happening, which can result in an unintended double transfer of tokens. The function first calls `super.transfer(_to, _value)` and then `_transfer(msg.sender, _to, _value)`, essentially transferring the tokens twice to the recipient.</t>
  </si>
  <si>
    <t xml:space="preserve">In the `transferAndCall` function, tokens are transferred twice</t>
  </si>
  <si>
    <t xml:space="preserve">first with `super.transfer(_to, _value)` and then with `_transfer(msg.sender, _to, _value)`. This results in transferring double the intended amount of tokens to the recipient address, which is an incorrect implementation.</t>
  </si>
  <si>
    <t xml:space="preserve">Double transfer of tokens</t>
  </si>
  <si>
    <t xml:space="preserve">In the function `transferAndCall`, the token transfer is being performed twice. The first call to `super.transfer(_to, _value);` transfers the tokens, and then the next line `_transfer(msg.sender, _to, _value);` does the same thing. This can lead to an unintended double transfer of tokens, which may cause a loss of funds for the token sender.</t>
  </si>
  <si>
    <t xml:space="preserve">Incomplete Contract Initialization</t>
  </si>
  <si>
    <t xml:space="preserve">In the `constructor` function, the `_claimContract` parameter is missing from the function arguments, and the claimContract is never initialized. To fix this, add the `_claimContract` parameter to the constructor and initialize the claimContract with it, like this</t>
  </si>
  <si>
    <t xml:space="preserve">The contract uses magic numbers like "1e20", "2 weeks", and "5". These numbers should be replaced with named constants to make the code more readable and maintainable. For example, you could replace "1e20" with a constant named "REWARD_SCALING_FACTOR", "2 weeks" with a constant named "VOTE_CYCLE_DURATION", and "5" with a constant named "TREASURY_REWARD_PERCENTAGE".</t>
  </si>
  <si>
    <t xml:space="preserve">Missing depositToken transfer</t>
  </si>
  <si>
    <t xml:space="preserve">In the deposit function, the user's deposit tokens are not actually transferred to the contract. This can lead to incorrect accounting of the tokens, and users can potentially exploit this vulnerability to claim rewards without actually depositing any tokens.</t>
  </si>
  <si>
    <t xml:space="preserve">No withdrawal of deposit tokens</t>
  </si>
  <si>
    <t xml:space="preserve">In the withdraw function, the deposit tokens are not transferred back to the user when they withdraw. This can lead to locked funds, as users will not be able to retrieve their tokens after withdrawal.</t>
  </si>
  <si>
    <t xml:space="preserve">_calcRewardIntegral</t>
  </si>
  <si>
    <t xml:space="preserve">Incorrect calculation of user rewards</t>
  </si>
  <si>
    <t xml:space="preserve">In the `_calcRewardIntegral` function, the user rewards are calculated using the formula `(_balance * (reward.integral - userI)) / 1e20`. However, this calculation can lead to incorrect user rewards due to the potential for rounding errors, especially when dealing with small token amounts or balances. To improve the accuracy of the reward calculation, it is suggested to use a more precise formula or library that handles such calculations with greater precision.</t>
  </si>
  <si>
    <t xml:space="preserve">Unsafe external contract interaction</t>
  </si>
  <si>
    <t xml:space="preserve">In the `addRewards` function, the contract interacts with multiple external contracts without checking their addresses for validity. This could potentially expose the contract to attacks if the external contracts are malicious or compromised. To mitigate this risk, it is suggested to validate the addresses of external contracts before interacting with them.</t>
  </si>
  <si>
    <t xml:space="preserve">initalizeRewardPool</t>
  </si>
  <si>
    <t xml:space="preserve">Incorrect pool initialization</t>
  </si>
  <si>
    <t xml:space="preserve">The `initalizeRewardPool` function can be called by the owner to initialize a reward pool with a specific base token, reward token, and reward per second. However, the function does not check if the base token is different from the reward token, which could lead to unexpected behavior if the same token is used for both. To prevent this, an additional check should be added to ensure the base token and reward token are different.</t>
  </si>
  <si>
    <t xml:space="preserve">The `withdraw` function has a loop that iterates through all the staked NFTs for a user to find the index of the NFT to be withdrawn. This loop can cause gas usage to increase with the number of NFTs staked by a user, potentially making the function unusable for users with many staked NFTs. A possible solution is to maintain a mapping of NFT IDs to their indices in the `nftIdsStaked` array, allowing for a constant-time lookup instead of an unbounded loop.</t>
  </si>
  <si>
    <t xml:space="preserve">Incorrect token approval check</t>
  </si>
  <si>
    <t xml:space="preserve">The deposit function checks if the token is approved for transfer using both `isApprovedForAll` and `getApproved`. However, it should only use `isApprovedForAll` for checking if the contract is approved to manage all of the user's tokens, and `getApproved` for checking if the contract is approved to manage a specific token.</t>
  </si>
  <si>
    <t xml:space="preserve">Inefficient loop for searching NFTs</t>
  </si>
  <si>
    <t xml:space="preserve">The withdraw function has a loop that searches for the NFT ID in the user's nftIdsStaked mapping. This loop may become inefficient as the number of NFTs staked by a user increases. Consider using a better data structure or strategy to optimize this lookup process.</t>
  </si>
  <si>
    <t xml:space="preserve">_sendErc20AndGetSentAmount</t>
  </si>
  <si>
    <t xml:space="preserve">Incorrect handling of native tokens</t>
  </si>
  <si>
    <t xml:space="preserve">The function _sendErc20AndGetSentAmount is used for sending ERC20 tokens but is also used to calculate the sent amount for native tokens. This should be handled separately for native tokens (ETH), as the function is not designed to handle them.</t>
  </si>
  <si>
    <t xml:space="preserve">98_1</t>
  </si>
  <si>
    <t xml:space="preserve">executeMetaTransaction</t>
  </si>
  <si>
    <t xml:space="preserve">Incorrect nonce update</t>
  </si>
  <si>
    <t xml:space="preserve">The nonce update in the `executeMetaTransaction` function has an unchecked overflow, which can potentially lead to incorrect nonce values after 2 ^ 256 - 1 transactions. Although it is unlikely for a user to make such a large number of transactions, it is still recommended to handle nonce updates with proper overflow checks using SafeMath or Solidity's built-in overflow checking features.</t>
  </si>
  <si>
    <t xml:space="preserve">98_3</t>
  </si>
  <si>
    <t xml:space="preserve">The contract uses unchecked addition for updating the nonce, which is claimed to save gas. Although it's improbable for someone to perform 2^256-1 meta transactions, this approach might still be considered a bad practice. If the nonce ever overflows, it would reset to zero, enabling an attacker to replay previously executed meta transactions. A better approach would be to use SafeMath or the built-in Solidity `+` operator to prevent overflow.</t>
  </si>
  <si>
    <t xml:space="preserve">Incorrect Approve Allowance</t>
  </si>
  <si>
    <t xml:space="preserve">In the swap function, the contract approves the full `_swapData.fromAmount` without checking if there is an existing allowance. If the contract already has an allowance for a token, it might approve a smaller amount than intended.</t>
  </si>
  <si>
    <t xml:space="preserve">113_1</t>
  </si>
  <si>
    <t xml:space="preserve">removeCollateral</t>
  </si>
  <si>
    <t xml:space="preserve">Unprotected function calls</t>
  </si>
  <si>
    <t xml:space="preserve">In the `removeCollateral` function, the call to `collateral.transferFrom` is not protected by a reentrancy guard. This can potentially allow reentrancy attacks to occur. Consider adding a reentrancy guard, such as a mutex or the ReentrancyGuard from OpenZeppelin, to prevent reentrancy attacks.</t>
  </si>
  <si>
    <t xml:space="preserve">Lack of circuit breaker</t>
  </si>
  <si>
    <t xml:space="preserve">There is no emergency stop mechanism or circuit breaker implemented in the smart contract. In case of a bug or security issue, there is no way to pause the contract or stop certain functions from being executed. Consider implementing a circuit breaker pattern to handle emergency situations.</t>
  </si>
  <si>
    <t xml:space="preserve">115_2</t>
  </si>
  <si>
    <t xml:space="preserve">aggregatorSwap</t>
  </si>
  <si>
    <t xml:space="preserve">The aggregatorSwap function should have its visibility set to "private" instead of "internal" since it is only used within the same contract. Setting the function visibility to "private" prevents other contracts in the same inheritance chain from accessing it, reducing the potential attack surface.</t>
  </si>
  <si>
    <t xml:space="preserve">122_2</t>
  </si>
  <si>
    <t xml:space="preserve">buyOption</t>
  </si>
  <si>
    <t xml:space="preserve">Insecure token transfer</t>
  </si>
  <si>
    <t xml:space="preserve">In the `buyOption` function, the `_forceTransfer(msg.sender, optionId);` is called. However, there is no proper validation to ensure that the optionId is valid, which may lead to transferring tokens to an unintended address or transferring incorrect amounts.</t>
  </si>
  <si>
    <t xml:space="preserve">131_1</t>
  </si>
  <si>
    <t xml:space="preserve">_executeInflationRateUpdate()</t>
  </si>
  <si>
    <t xml:space="preserve">Incorrect Inflation Decay Calculation</t>
  </si>
  <si>
    <t xml:space="preserve">In the _executeInflationRateUpdate() function, the inflation decay calculations do not properly consider the time since the last decay. The code updates the inflation amounts using the annual decay rate, regardless of the actual time passed since the last decay. This can lead to incorrect inflation rate updates.</t>
  </si>
  <si>
    <t xml:space="preserve">setToken()</t>
  </si>
  <si>
    <t xml:space="preserve">Missing Token Initialization Check</t>
  </si>
  <si>
    <t xml:space="preserve">In the setToken() function, there is a check to ensure that the token address has not already been set. However, there is no check to ensure that the provided token address is not the zero address. A zero address could be accidentally set as the token address, leading to a broken contract state.</t>
  </si>
  <si>
    <t xml:space="preserve">_mint()</t>
  </si>
  <si>
    <t xml:space="preserve">Inaccurate Total Supply</t>
  </si>
  <si>
    <t xml:space="preserve">In the _mint() function, the totalAvailableToNow variable is updated before the new tokens are minted. However, the update for the totalAvailableToNow variable should be after the minting of new tokens. Otherwise, it may lead to an inaccurate representation of the total supply.</t>
  </si>
  <si>
    <t xml:space="preserve">131_2</t>
  </si>
  <si>
    <t xml:space="preserve">_mint</t>
  </si>
  <si>
    <t xml:space="preserve">The `_mint` function is marked as internal, but it does not use any internal variables or functions, and it is only called by the `mint` function, which has the `nonReentrant` modifier. It would be more efficient to merge the `_mint` function into the `mint` function and remove the internal visibility, since it doesn't provide any additional security.</t>
  </si>
  <si>
    <t xml:space="preserve">131_3</t>
  </si>
  <si>
    <t xml:space="preserve">_executeInflationRateUpdate</t>
  </si>
  <si>
    <t xml:space="preserve">The `_executeInflationRateUpdate` function calculates the total available tokens by adding the current total inflation multiplied by the time since the last event. This calculation is performed twice, once at the beginning of the function and once within the `_mint` function, which is inefficient and can be optimized.</t>
  </si>
  <si>
    <t xml:space="preserve">190_1</t>
  </si>
  <si>
    <t xml:space="preserve">hook</t>
  </si>
  <si>
    <t xml:space="preserve">User period reset issue</t>
  </si>
  <si>
    <t xml:space="preserve">The implementation of user-specific period resets in the `hook` function has a bug. The `lastUserPeriodReset` variable is shared among all users, so when any user resets their period, it resets for everyone else as well. This can lead to incorrect enforcement of user withdrawal limits.</t>
  </si>
  <si>
    <t xml:space="preserve">190_3</t>
  </si>
  <si>
    <t xml:space="preserve">The hook function does not correctly reset the user period. It sets the lastUserPeriodReset to the current block timestamp, but it should be set for each user individually. This leads to incorrect behavior where a reset affects all users rather than being specific to each user.</t>
  </si>
  <si>
    <t xml:space="preserve">linkl</t>
  </si>
  <si>
    <t xml:space="preserve">files</t>
  </si>
  <si>
    <t xml:space="preserve">explan</t>
  </si>
  <si>
    <t xml:space="preserve">Access control</t>
  </si>
  <si>
    <t xml:space="preserve">true, no risk. problems other place</t>
  </si>
  <si>
    <t xml:space="preserve">false, impossible longer than 2</t>
  </si>
  <si>
    <t xml:space="preserve">false, checked already. gpt err</t>
  </si>
  <si>
    <t xml:space="preserve">gpt err</t>
  </si>
  <si>
    <t xml:space="preserve">In the _handleTransferOut function, the external call payable(_recipient).call{value_amount}(""); does not check for the success of the call. This might lead to a situation where the transfer of funds fails silently without reverting the transaction, potentially causing loss of funds or other unexpected behavior.</t>
  </si>
  <si>
    <t xml:space="preserve">false, used.</t>
  </si>
  <si>
    <t xml:space="preserve">false. work</t>
  </si>
  <si>
    <t xml:space="preserve">The _handleTransferIn function tries to deposit native BNB into the WBNB contract by calling payable(WBNB).call{value_amount}("");. This is not the correct way to deposit BNB into WBNB. Instead, it should be done using the deposit function provided by the WBNB contract (i.e., iWBNB(WBNB).deposit{value_amount}();).</t>
  </si>
  <si>
    <t xml:space="preserve">false, constrained in other functions.</t>
  </si>
  <si>
    <t xml:space="preserve">false, no need </t>
  </si>
  <si>
    <t xml:space="preserve">gpt err, nonsense</t>
  </si>
  <si>
    <t xml:space="preserve">true, take care in other files.</t>
  </si>
  <si>
    <t xml:space="preserve">true, low risk. other bugs</t>
  </si>
  <si>
    <t xml:space="preserve">false, ok for this.</t>
  </si>
  <si>
    <t xml:space="preserve">false, loop condition.</t>
  </si>
  <si>
    <t xml:space="preserve">false, removed in other functions.</t>
  </si>
  <si>
    <t xml:space="preserve">false, assigned.</t>
  </si>
  <si>
    <t xml:space="preserve">The addLiquidity function has two versions, one of which is just a wrapper for the other. The wrapper function is marked as "NOTEFor Uniswap V2 compliancy, necessary due to stack too deep", but it is not necessary, as the underlying addLiquidity function is already compliant with Uniswap V2. This leads to increased gas costs when using the wrapper function.</t>
  </si>
  <si>
    <t xml:space="preserve">false, already there</t>
  </si>
  <si>
    <t xml:space="preserve">false, constrained.</t>
  </si>
  <si>
    <t xml:space="preserve">true, risk</t>
  </si>
  <si>
    <t xml:space="preserve">false, no ETH here.</t>
  </si>
  <si>
    <t xml:space="preserve">false, safe here.</t>
  </si>
  <si>
    <t xml:space="preserve">M-27</t>
  </si>
  <si>
    <t xml:space="preserve">https://code4rena.com/reports/2021-11-malt/#m-27-slippage-checks-when-adding-liquidity-are-too-strict</t>
  </si>
  <si>
    <t xml:space="preserve">true, no need</t>
  </si>
  <si>
    <t xml:space="preserve">https://code4rena.com/reports/2022-01-behodler/#h-03-double-transfer-in-the-transferandcall-function-of-erc677</t>
  </si>
  <si>
    <t xml:space="preserve">setToken</t>
  </si>
  <si>
    <t xml:space="preserve">false, require constrained</t>
  </si>
  <si>
    <t xml:space="preserve">false, non related</t>
  </si>
</sst>
</file>

<file path=xl/styles.xml><?xml version="1.0" encoding="utf-8"?>
<styleSheet xmlns="http://schemas.openxmlformats.org/spreadsheetml/2006/main">
  <numFmts count="3">
    <numFmt numFmtId="164" formatCode="General"/>
    <numFmt numFmtId="165" formatCode="@"/>
    <numFmt numFmtId="166" formatCode="General"/>
  </numFmts>
  <fonts count="16">
    <font>
      <sz val="11"/>
      <color rgb="FF000000"/>
      <name val="Calibri"/>
      <family val="2"/>
      <charset val="1"/>
    </font>
    <font>
      <sz val="10"/>
      <name val="Arial"/>
      <family val="0"/>
    </font>
    <font>
      <sz val="10"/>
      <name val="Arial"/>
      <family val="0"/>
    </font>
    <font>
      <sz val="10"/>
      <name val="Arial"/>
      <family val="0"/>
    </font>
    <font>
      <sz val="10"/>
      <color rgb="FF000000"/>
      <name val="Arial"/>
      <family val="0"/>
      <charset val="1"/>
    </font>
    <font>
      <sz val="11"/>
      <color rgb="FF444444"/>
      <name val="Calibri"/>
      <family val="2"/>
      <charset val="1"/>
    </font>
    <font>
      <u val="single"/>
      <sz val="11"/>
      <color rgb="FF0563C1"/>
      <name val="Calibri"/>
      <family val="2"/>
      <charset val="1"/>
    </font>
    <font>
      <b val="true"/>
      <sz val="10"/>
      <color rgb="FFFFFFFF"/>
      <name val="Arial"/>
      <family val="0"/>
      <charset val="1"/>
    </font>
    <font>
      <sz val="10"/>
      <color rgb="FFED7D31"/>
      <name val="Arial"/>
      <family val="0"/>
      <charset val="1"/>
    </font>
    <font>
      <sz val="10"/>
      <color rgb="FFC00000"/>
      <name val="Arial"/>
      <family val="0"/>
      <charset val="1"/>
    </font>
    <font>
      <sz val="11"/>
      <color rgb="FFC00000"/>
      <name val="Calibri"/>
      <family val="2"/>
      <charset val="1"/>
    </font>
    <font>
      <sz val="9"/>
      <color rgb="FF404040"/>
      <name val="Calibri"/>
      <family val="2"/>
    </font>
    <font>
      <sz val="9"/>
      <color rgb="FF595959"/>
      <name val="Calibri"/>
      <family val="2"/>
    </font>
    <font>
      <sz val="9"/>
      <color rgb="FF000000"/>
      <name val="Calibri"/>
      <family val="2"/>
    </font>
    <font>
      <sz val="10"/>
      <color rgb="FF000000"/>
      <name val="Calibri"/>
      <family val="2"/>
    </font>
    <font>
      <b val="true"/>
      <sz val="11"/>
      <color rgb="FFFFFFFF"/>
      <name val="Calibri"/>
      <family val="2"/>
      <charset val="1"/>
    </font>
  </fonts>
  <fills count="4">
    <fill>
      <patternFill patternType="none"/>
    </fill>
    <fill>
      <patternFill patternType="gray125"/>
    </fill>
    <fill>
      <patternFill patternType="solid">
        <fgColor rgb="FFDAE3F3"/>
        <bgColor rgb="FFD9D9D9"/>
      </patternFill>
    </fill>
    <fill>
      <patternFill patternType="solid">
        <fgColor rgb="FF4472C4"/>
        <bgColor rgb="FF0563C1"/>
      </patternFill>
    </fill>
  </fills>
  <borders count="6">
    <border diagonalUp="false" diagonalDown="false">
      <left/>
      <right/>
      <top/>
      <bottom/>
      <diagonal/>
    </border>
    <border diagonalUp="false" diagonalDown="false">
      <left/>
      <right/>
      <top style="thin">
        <color rgb="FF8FAADC"/>
      </top>
      <bottom style="thin">
        <color rgb="FF8FAADC"/>
      </bottom>
      <diagonal/>
    </border>
    <border diagonalUp="false" diagonalDown="false">
      <left/>
      <right style="thin">
        <color rgb="FF8FAADC"/>
      </right>
      <top style="thin">
        <color rgb="FF8FAADC"/>
      </top>
      <bottom style="thin">
        <color rgb="FF8FAADC"/>
      </bottom>
      <diagonal/>
    </border>
    <border diagonalUp="false" diagonalDown="false">
      <left/>
      <right/>
      <top/>
      <bottom style="thin">
        <color rgb="FF8FAADC"/>
      </bottom>
      <diagonal/>
    </border>
    <border diagonalUp="false" diagonalDown="false">
      <left/>
      <right/>
      <top style="thin">
        <color rgb="FF8FAADC"/>
      </top>
      <bottom/>
      <diagonal/>
    </border>
    <border diagonalUp="false" diagonalDown="false">
      <left style="thin">
        <color rgb="FF8FAADC"/>
      </left>
      <right/>
      <top style="thin">
        <color rgb="FF8FAADC"/>
      </top>
      <bottom style="thin">
        <color rgb="FF8FAA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2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6" fillId="2" borderId="1" xfId="20" applyFont="true" applyBorder="true" applyAlignment="true" applyProtection="tru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7" fillId="3" borderId="3" xfId="0" applyFont="true" applyBorder="true" applyAlignment="true" applyProtection="false">
      <alignment horizontal="left" vertical="bottom" textRotation="0" wrapText="false" indent="0" shrinkToFit="false"/>
      <protection locked="true" hidden="false"/>
    </xf>
    <xf numFmtId="164" fontId="7" fillId="3" borderId="3" xfId="0" applyFont="true" applyBorder="true" applyAlignment="false" applyProtection="false">
      <alignment horizontal="general" vertical="bottom" textRotation="0" wrapText="false" indent="0" shrinkToFit="false"/>
      <protection locked="true" hidden="false"/>
    </xf>
    <xf numFmtId="165" fontId="4" fillId="2"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left" vertical="bottom" textRotation="0" wrapText="fals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left" vertical="bottom" textRotation="0" wrapText="false" indent="0" shrinkToFit="false"/>
      <protection locked="true" hidden="false"/>
    </xf>
    <xf numFmtId="165" fontId="4" fillId="2"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15" fillId="3" borderId="1" xfId="0" applyFont="true" applyBorder="true" applyAlignment="false" applyProtection="false">
      <alignment horizontal="general" vertical="bottom" textRotation="0" wrapText="false" indent="0" shrinkToFit="false"/>
      <protection locked="true" hidden="false"/>
    </xf>
    <xf numFmtId="164" fontId="15" fillId="3" borderId="3"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15" fillId="3" borderId="5" xfId="0" applyFont="true" applyBorder="true" applyAlignment="false" applyProtection="false">
      <alignment horizontal="general"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B8B8B"/>
      <rgbColor rgb="FF8FAADC"/>
      <rgbColor rgb="FF993366"/>
      <rgbColor rgb="FFFFFFCC"/>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339966"/>
      <rgbColor rgb="FF003300"/>
      <rgbColor rgb="FF444444"/>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stkbar!$C$14</c:f>
              <c:strCache>
                <c:ptCount val="1"/>
                <c:pt idx="0">
                  <c:v>high in report</c:v>
                </c:pt>
              </c:strCache>
            </c:strRef>
          </c:tx>
          <c:spPr>
            <a:solidFill>
              <a:srgbClr val="4472c4"/>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stkbar!$C$15:$C$38</c:f>
              <c:numCache>
                <c:formatCode>General</c:formatCode>
                <c:ptCount val="24"/>
                <c:pt idx="1">
                  <c:v>24</c:v>
                </c:pt>
                <c:pt idx="2">
                  <c:v>8</c:v>
                </c:pt>
                <c:pt idx="5">
                  <c:v>63</c:v>
                </c:pt>
                <c:pt idx="6">
                  <c:v>5</c:v>
                </c:pt>
                <c:pt idx="9">
                  <c:v>34</c:v>
                </c:pt>
                <c:pt idx="10">
                  <c:v>9</c:v>
                </c:pt>
                <c:pt idx="13">
                  <c:v>21</c:v>
                </c:pt>
                <c:pt idx="14">
                  <c:v>7</c:v>
                </c:pt>
                <c:pt idx="17">
                  <c:v>46</c:v>
                </c:pt>
                <c:pt idx="18">
                  <c:v>5</c:v>
                </c:pt>
                <c:pt idx="21">
                  <c:v>58</c:v>
                </c:pt>
                <c:pt idx="22">
                  <c:v>2</c:v>
                </c:pt>
              </c:numCache>
            </c:numRef>
          </c:val>
        </c:ser>
        <c:ser>
          <c:idx val="1"/>
          <c:order val="1"/>
          <c:tx>
            <c:strRef>
              <c:f>stkbar!$D$14</c:f>
              <c:strCache>
                <c:ptCount val="1"/>
                <c:pt idx="0">
                  <c:v>non-high in report</c:v>
                </c:pt>
              </c:strCache>
            </c:strRef>
          </c:tx>
          <c:spPr>
            <a:solidFill>
              <a:srgbClr val="ed7d31"/>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stkbar!$D$15:$D$38</c:f>
              <c:numCache>
                <c:formatCode>General</c:formatCode>
                <c:ptCount val="24"/>
                <c:pt idx="2">
                  <c:v>5</c:v>
                </c:pt>
                <c:pt idx="6">
                  <c:v>7</c:v>
                </c:pt>
                <c:pt idx="10">
                  <c:v>7</c:v>
                </c:pt>
                <c:pt idx="14">
                  <c:v>2</c:v>
                </c:pt>
                <c:pt idx="18">
                  <c:v>6</c:v>
                </c:pt>
                <c:pt idx="22">
                  <c:v>5</c:v>
                </c:pt>
              </c:numCache>
            </c:numRef>
          </c:val>
        </c:ser>
        <c:ser>
          <c:idx val="2"/>
          <c:order val="2"/>
          <c:tx>
            <c:strRef>
              <c:f>stkbar!$E$14</c:f>
              <c:strCache>
                <c:ptCount val="1"/>
                <c:pt idx="0">
                  <c:v>true not in report</c:v>
                </c:pt>
              </c:strCache>
            </c:strRef>
          </c:tx>
          <c:spPr>
            <a:solidFill>
              <a:srgbClr val="a5a5a5"/>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stkbar!$E$15:$E$38</c:f>
              <c:numCache>
                <c:formatCode>General</c:formatCode>
                <c:ptCount val="24"/>
                <c:pt idx="2">
                  <c:v>13</c:v>
                </c:pt>
                <c:pt idx="6">
                  <c:v>55</c:v>
                </c:pt>
                <c:pt idx="10">
                  <c:v>44</c:v>
                </c:pt>
                <c:pt idx="14">
                  <c:v>13</c:v>
                </c:pt>
                <c:pt idx="18">
                  <c:v>105</c:v>
                </c:pt>
                <c:pt idx="22">
                  <c:v>69</c:v>
                </c:pt>
              </c:numCache>
            </c:numRef>
          </c:val>
        </c:ser>
        <c:ser>
          <c:idx val="3"/>
          <c:order val="3"/>
          <c:tx>
            <c:strRef>
              <c:f>stkbar!$F$14</c:f>
              <c:strCache>
                <c:ptCount val="1"/>
                <c:pt idx="0">
                  <c:v>false alarm</c:v>
                </c:pt>
              </c:strCache>
            </c:strRef>
          </c:tx>
          <c:spPr>
            <a:solidFill>
              <a:srgbClr val="ffc000"/>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stkbar!$F$15:$F$38</c:f>
              <c:numCache>
                <c:formatCode>General</c:formatCode>
                <c:ptCount val="24"/>
                <c:pt idx="2">
                  <c:v>37</c:v>
                </c:pt>
                <c:pt idx="6">
                  <c:v>81</c:v>
                </c:pt>
                <c:pt idx="10">
                  <c:v>16</c:v>
                </c:pt>
                <c:pt idx="14">
                  <c:v>24</c:v>
                </c:pt>
                <c:pt idx="18">
                  <c:v>76</c:v>
                </c:pt>
                <c:pt idx="22">
                  <c:v>29</c:v>
                </c:pt>
              </c:numCache>
            </c:numRef>
          </c:val>
        </c:ser>
        <c:gapWidth val="20"/>
        <c:overlap val="100"/>
        <c:axId val="67725552"/>
        <c:axId val="20777268"/>
      </c:barChart>
      <c:catAx>
        <c:axId val="67725552"/>
        <c:scaling>
          <c:orientation val="minMax"/>
        </c:scaling>
        <c:delete val="0"/>
        <c:axPos val="b"/>
        <c:numFmt formatCode="General" sourceLinked="1"/>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0777268"/>
        <c:crosses val="autoZero"/>
        <c:auto val="1"/>
        <c:lblAlgn val="ctr"/>
        <c:lblOffset val="100"/>
        <c:noMultiLvlLbl val="0"/>
      </c:catAx>
      <c:valAx>
        <c:axId val="20777268"/>
        <c:scaling>
          <c:orientation val="minMax"/>
          <c:max val="200"/>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67725552"/>
        <c:crosses val="autoZero"/>
        <c:crossBetween val="between"/>
      </c:valAx>
      <c:spPr>
        <a:noFill/>
        <a:ln>
          <a:noFill/>
        </a:ln>
      </c:spPr>
    </c:plotArea>
    <c:legend>
      <c:legendPos val="b"/>
      <c:overlay val="0"/>
      <c:spPr>
        <a:noFill/>
        <a:ln>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stkbar!$C$14</c:f>
              <c:strCache>
                <c:ptCount val="1"/>
                <c:pt idx="0">
                  <c:v>high in report</c:v>
                </c:pt>
              </c:strCache>
            </c:strRef>
          </c:tx>
          <c:spPr>
            <a:solidFill>
              <a:srgbClr val="00b0f0"/>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stkbar!$C$15:$C$38</c:f>
              <c:numCache>
                <c:formatCode>General</c:formatCode>
                <c:ptCount val="24"/>
                <c:pt idx="1">
                  <c:v>24</c:v>
                </c:pt>
                <c:pt idx="2">
                  <c:v>8</c:v>
                </c:pt>
                <c:pt idx="5">
                  <c:v>63</c:v>
                </c:pt>
                <c:pt idx="6">
                  <c:v>5</c:v>
                </c:pt>
                <c:pt idx="9">
                  <c:v>34</c:v>
                </c:pt>
                <c:pt idx="10">
                  <c:v>9</c:v>
                </c:pt>
                <c:pt idx="13">
                  <c:v>21</c:v>
                </c:pt>
                <c:pt idx="14">
                  <c:v>7</c:v>
                </c:pt>
                <c:pt idx="17">
                  <c:v>46</c:v>
                </c:pt>
                <c:pt idx="18">
                  <c:v>5</c:v>
                </c:pt>
                <c:pt idx="21">
                  <c:v>58</c:v>
                </c:pt>
                <c:pt idx="22">
                  <c:v>2</c:v>
                </c:pt>
              </c:numCache>
            </c:numRef>
          </c:val>
        </c:ser>
        <c:ser>
          <c:idx val="1"/>
          <c:order val="1"/>
          <c:tx>
            <c:strRef>
              <c:f>stkbar!$D$14</c:f>
              <c:strCache>
                <c:ptCount val="1"/>
                <c:pt idx="0">
                  <c:v>non-high in report</c:v>
                </c:pt>
              </c:strCache>
            </c:strRef>
          </c:tx>
          <c:spPr>
            <a:solidFill>
              <a:srgbClr val="ed7d31"/>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stkbar!$D$15:$D$38</c:f>
              <c:numCache>
                <c:formatCode>General</c:formatCode>
                <c:ptCount val="24"/>
                <c:pt idx="2">
                  <c:v>5</c:v>
                </c:pt>
                <c:pt idx="6">
                  <c:v>7</c:v>
                </c:pt>
                <c:pt idx="10">
                  <c:v>7</c:v>
                </c:pt>
                <c:pt idx="14">
                  <c:v>2</c:v>
                </c:pt>
                <c:pt idx="18">
                  <c:v>6</c:v>
                </c:pt>
                <c:pt idx="22">
                  <c:v>5</c:v>
                </c:pt>
              </c:numCache>
            </c:numRef>
          </c:val>
        </c:ser>
        <c:ser>
          <c:idx val="2"/>
          <c:order val="2"/>
          <c:tx>
            <c:strRef>
              <c:f>stkbar!$E$14</c:f>
              <c:strCache>
                <c:ptCount val="1"/>
                <c:pt idx="0">
                  <c:v>true not in report</c:v>
                </c:pt>
              </c:strCache>
            </c:strRef>
          </c:tx>
          <c:spPr>
            <a:solidFill>
              <a:srgbClr val="a5a5a5"/>
            </a:solidFill>
            <a:ln>
              <a:noFill/>
            </a:ln>
          </c:spPr>
          <c:invertIfNegative val="0"/>
          <c:dLbls>
            <c:numFmt formatCode="General" sourceLinked="1"/>
            <c:txPr>
              <a:bodyPr/>
              <a:lstStyle/>
              <a:p>
                <a:pPr>
                  <a:defRPr b="0" sz="900" spc="-1" strike="noStrike">
                    <a:solidFill>
                      <a:srgbClr val="40404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stkbar!$E$15:$E$38</c:f>
              <c:numCache>
                <c:formatCode>General</c:formatCode>
                <c:ptCount val="24"/>
                <c:pt idx="2">
                  <c:v>13</c:v>
                </c:pt>
                <c:pt idx="6">
                  <c:v>55</c:v>
                </c:pt>
                <c:pt idx="10">
                  <c:v>44</c:v>
                </c:pt>
                <c:pt idx="14">
                  <c:v>13</c:v>
                </c:pt>
                <c:pt idx="18">
                  <c:v>105</c:v>
                </c:pt>
                <c:pt idx="22">
                  <c:v>69</c:v>
                </c:pt>
              </c:numCache>
            </c:numRef>
          </c:val>
        </c:ser>
        <c:ser>
          <c:idx val="3"/>
          <c:order val="3"/>
          <c:tx>
            <c:strRef>
              <c:f>stkbar!$F$14</c:f>
              <c:strCache>
                <c:ptCount val="1"/>
                <c:pt idx="0">
                  <c:v>false alarm</c:v>
                </c:pt>
              </c:strCache>
            </c:strRef>
          </c:tx>
          <c:spPr>
            <a:solidFill>
              <a:srgbClr val="ffc000"/>
            </a:solidFill>
            <a:ln>
              <a:noFill/>
            </a:ln>
          </c:spPr>
          <c:invertIfNegative val="0"/>
          <c:dLbls>
            <c:numFmt formatCode="General" sourceLinked="1"/>
            <c:txPr>
              <a:bodyPr/>
              <a:lstStyle/>
              <a:p>
                <a:pPr>
                  <a:defRPr b="0" sz="900" spc="-1" strike="noStrike">
                    <a:solidFill>
                      <a:srgbClr val="000000"/>
                    </a:solidFill>
                    <a:latin typeface="Calibri"/>
                  </a:defRPr>
                </a:pPr>
              </a:p>
            </c:txPr>
            <c:dLblPos val="ctr"/>
            <c:showLegendKey val="0"/>
            <c:showVal val="1"/>
            <c:showCatName val="0"/>
            <c:showSerName val="0"/>
            <c:showPercent val="0"/>
            <c:separator>; </c:separator>
            <c:showLeaderLines val="0"/>
          </c:dLbls>
          <c:cat>
            <c:multiLvlStrRef>
              <c:f>stkbar!$A$15:$B$39</c:f>
              <c:multiLvlStrCache>
                <c:ptCount val="25"/>
                <c:lvl>
                  <c:pt idx="1">
                    <c:v>Code4rena</c:v>
                  </c:pt>
                  <c:pt idx="2">
                    <c:v>GPT_alarms</c:v>
                  </c:pt>
                  <c:pt idx="5">
                    <c:v>Code4rena</c:v>
                  </c:pt>
                  <c:pt idx="6">
                    <c:v>GPT_alarms</c:v>
                  </c:pt>
                  <c:pt idx="9">
                    <c:v>Code4rena</c:v>
                  </c:pt>
                  <c:pt idx="10">
                    <c:v>GPT_alarms</c:v>
                  </c:pt>
                  <c:pt idx="13">
                    <c:v>Code4rena</c:v>
                  </c:pt>
                  <c:pt idx="14">
                    <c:v>GPT_alarms</c:v>
                  </c:pt>
                  <c:pt idx="17">
                    <c:v>Code4rena</c:v>
                  </c:pt>
                  <c:pt idx="18">
                    <c:v>GPT_alarms</c:v>
                  </c:pt>
                  <c:pt idx="21">
                    <c:v>Code4rena</c:v>
                  </c:pt>
                  <c:pt idx="22">
                    <c:v>GPT_alarms</c:v>
                  </c:pt>
                </c:lvl>
                <c:lvl>
                  <c:pt idx="0">
                    <c:v>C1</c:v>
                  </c:pt>
                  <c:pt idx="4">
                    <c:v>C2</c:v>
                  </c:pt>
                  <c:pt idx="8">
                    <c:v>C3&amp;5</c:v>
                  </c:pt>
                  <c:pt idx="12">
                    <c:v>C4</c:v>
                  </c:pt>
                  <c:pt idx="16">
                    <c:v>C6</c:v>
                  </c:pt>
                  <c:pt idx="20">
                    <c:v>C7</c:v>
                  </c:pt>
                  <c:pt idx="24">
                    <c:v>placeholder</c:v>
                  </c:pt>
                </c:lvl>
              </c:multiLvlStrCache>
            </c:multiLvlStrRef>
          </c:cat>
          <c:val>
            <c:numRef>
              <c:f>stkbar!$F$15:$F$38</c:f>
              <c:numCache>
                <c:formatCode>General</c:formatCode>
                <c:ptCount val="24"/>
                <c:pt idx="2">
                  <c:v>37</c:v>
                </c:pt>
                <c:pt idx="6">
                  <c:v>81</c:v>
                </c:pt>
                <c:pt idx="10">
                  <c:v>16</c:v>
                </c:pt>
                <c:pt idx="14">
                  <c:v>24</c:v>
                </c:pt>
                <c:pt idx="18">
                  <c:v>76</c:v>
                </c:pt>
                <c:pt idx="22">
                  <c:v>29</c:v>
                </c:pt>
              </c:numCache>
            </c:numRef>
          </c:val>
        </c:ser>
        <c:gapWidth val="20"/>
        <c:overlap val="100"/>
        <c:axId val="10699347"/>
        <c:axId val="29092095"/>
      </c:barChart>
      <c:catAx>
        <c:axId val="10699347"/>
        <c:scaling>
          <c:orientation val="minMax"/>
        </c:scaling>
        <c:delete val="0"/>
        <c:axPos val="b"/>
        <c:numFmt formatCode="General" sourceLinked="1"/>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9092095"/>
        <c:crosses val="autoZero"/>
        <c:auto val="1"/>
        <c:lblAlgn val="ctr"/>
        <c:lblOffset val="100"/>
        <c:noMultiLvlLbl val="0"/>
      </c:catAx>
      <c:valAx>
        <c:axId val="29092095"/>
        <c:scaling>
          <c:orientation val="minMax"/>
          <c:max val="200"/>
        </c:scaling>
        <c:delete val="1"/>
        <c:axPos val="l"/>
        <c:numFmt formatCode="General" sourceLinked="0"/>
        <c:majorTickMark val="none"/>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0699347"/>
        <c:crossBetween val="between"/>
      </c:valAx>
      <c:spPr>
        <a:noFill/>
        <a:ln>
          <a:noFill/>
        </a:ln>
      </c:spPr>
    </c:plotArea>
    <c:legend>
      <c:legendPos val="b"/>
      <c:overlay val="0"/>
      <c:spPr>
        <a:noFill/>
        <a:ln>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182520</xdr:colOff>
      <xdr:row>5</xdr:row>
      <xdr:rowOff>171360</xdr:rowOff>
    </xdr:from>
    <xdr:to>
      <xdr:col>18</xdr:col>
      <xdr:colOff>228240</xdr:colOff>
      <xdr:row>32</xdr:row>
      <xdr:rowOff>85320</xdr:rowOff>
    </xdr:to>
    <xdr:graphicFrame>
      <xdr:nvGraphicFramePr>
        <xdr:cNvPr id="0" name="Chart 3"/>
        <xdr:cNvGraphicFramePr/>
      </xdr:nvGraphicFramePr>
      <xdr:xfrm>
        <a:off x="9193680" y="1091880"/>
        <a:ext cx="6789240" cy="4885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361800</xdr:colOff>
      <xdr:row>27</xdr:row>
      <xdr:rowOff>171360</xdr:rowOff>
    </xdr:from>
    <xdr:to>
      <xdr:col>19</xdr:col>
      <xdr:colOff>418680</xdr:colOff>
      <xdr:row>48</xdr:row>
      <xdr:rowOff>67680</xdr:rowOff>
    </xdr:to>
    <xdr:graphicFrame>
      <xdr:nvGraphicFramePr>
        <xdr:cNvPr id="1" name="Chart 4"/>
        <xdr:cNvGraphicFramePr/>
      </xdr:nvGraphicFramePr>
      <xdr:xfrm>
        <a:off x="8623440" y="5143320"/>
        <a:ext cx="8299440" cy="3763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A74:E98" headerRowCount="1" totalsRowCount="0" totalsRowShown="0">
  <autoFilter ref="A74:E98"/>
  <tableColumns count="5">
    <tableColumn id="1" name="Proj"/>
    <tableColumn id="2" name="Functions"/>
    <tableColumn id="3" name="Certainty"/>
    <tableColumn id="4" name="comments"/>
    <tableColumn id="5" name="bugs"/>
  </tableColumns>
</table>
</file>

<file path=xl/tables/table2.xml><?xml version="1.0" encoding="utf-8"?>
<table xmlns="http://schemas.openxmlformats.org/spreadsheetml/2006/main" id="2" name="Table12" displayName="Table12" ref="A1:I115" headerRowCount="1" totalsRowCount="0" totalsRowShown="0">
  <autoFilter ref="A1:I115"/>
  <tableColumns count="9">
    <tableColumn id="1" name="proj"/>
    <tableColumn id="2" name="ID"/>
    <tableColumn id="3" name="tests"/>
    <tableColumn id="4" name="seq"/>
    <tableColumn id="5" name="function"/>
    <tableColumn id="6" name="bug type"/>
    <tableColumn id="7" name="explanation"/>
    <tableColumn id="8" name="Column1"/>
    <tableColumn id="9" name="Column2"/>
  </tableColumns>
</table>
</file>

<file path=xl/tables/table3.xml><?xml version="1.0" encoding="utf-8"?>
<table xmlns="http://schemas.openxmlformats.org/spreadsheetml/2006/main" id="3" name="Table123" displayName="Table123" ref="A1:J106" headerRowCount="1" totalsRowCount="0" totalsRowShown="0">
  <autoFilter ref="A1:J106"/>
  <tableColumns count="10">
    <tableColumn id="1" name="ID"/>
    <tableColumn id="2" name="tests"/>
    <tableColumn id="3" name="seq"/>
    <tableColumn id="4" name="linkl"/>
    <tableColumn id="5" name="files"/>
    <tableColumn id="6" name="function"/>
    <tableColumn id="7" name="bug type"/>
    <tableColumn id="8" name="justify"/>
    <tableColumn id="9" name="note"/>
    <tableColumn id="10" name="explan"/>
  </tableColumns>
</table>
</file>

<file path=xl/tables/table4.xml><?xml version="1.0" encoding="utf-8"?>
<table xmlns="http://schemas.openxmlformats.org/spreadsheetml/2006/main" id="4" name="Table3" displayName="Table3" ref="A1:J363" headerRowCount="1" totalsRowCount="0" totalsRowShown="0">
  <autoFilter ref="A1:J363"/>
  <tableColumns count="10">
    <tableColumn id="1" name="proj"/>
    <tableColumn id="2" name="ID"/>
    <tableColumn id="3" name="tests"/>
    <tableColumn id="4" name="seq"/>
    <tableColumn id="5" name="functions"/>
    <tableColumn id="6" name="bug type"/>
    <tableColumn id="7" name="justify"/>
    <tableColumn id="8" name="notes"/>
    <tableColumn id="9" name="explanation"/>
    <tableColumn id="10" name="Column1"/>
  </tableColumns>
</table>
</file>

<file path=xl/tables/table5.xml><?xml version="1.0" encoding="utf-8"?>
<table xmlns="http://schemas.openxmlformats.org/spreadsheetml/2006/main" id="5" name="Table4" displayName="Table4" ref="A1:I161" headerRowCount="1" totalsRowCount="0" totalsRowShown="0">
  <autoFilter ref="A1:I161"/>
  <tableColumns count="9">
    <tableColumn id="1" name="proj"/>
    <tableColumn id="2" name="ID"/>
    <tableColumn id="3" name="Seq"/>
    <tableColumn id="4" name="functions"/>
    <tableColumn id="5" name="file"/>
    <tableColumn id="6" name="bug type"/>
    <tableColumn id="7" name="justify"/>
    <tableColumn id="8" name="notes"/>
    <tableColumn id="9" name="explanation"/>
  </tableColumns>
</table>
</file>

<file path=xl/tables/table6.xml><?xml version="1.0" encoding="utf-8"?>
<table xmlns="http://schemas.openxmlformats.org/spreadsheetml/2006/main" id="6" name="Table411" displayName="Table411" ref="A1:I149" headerRowCount="1" totalsRowCount="0" totalsRowShown="0">
  <autoFilter ref="A1:I149"/>
  <tableColumns count="9">
    <tableColumn id="1" name="proj"/>
    <tableColumn id="2" name="ID"/>
    <tableColumn id="3" name="Seq"/>
    <tableColumn id="4" name="functions"/>
    <tableColumn id="5" name="file"/>
    <tableColumn id="6" name="bug type"/>
    <tableColumn id="7" name="justify"/>
    <tableColumn id="8" name="notes"/>
    <tableColumn id="9" name="explanation"/>
  </tableColumns>
</table>
</file>

<file path=xl/tables/table7.xml><?xml version="1.0" encoding="utf-8"?>
<table xmlns="http://schemas.openxmlformats.org/spreadsheetml/2006/main" id="7" name="Table412" displayName="Table412" ref="A1:J301" headerRowCount="1" totalsRowCount="0" totalsRowShown="0">
  <autoFilter ref="A1:J301">
    <filterColumn colId="3">
      <customFilters and="true">
        <customFilter operator="equal" val="C7"/>
      </customFilters>
    </filterColumn>
    <filterColumn colId="6">
      <filters>
        <filter val="compact"/>
        <filter val="native"/>
      </filters>
    </filterColumn>
  </autoFilter>
  <tableColumns count="10">
    <tableColumn id="1" name="ID"/>
    <tableColumn id="2" name=" Bug ID"/>
    <tableColumn id="3" name="Bug Label"/>
    <tableColumn id="4" name="Cat"/>
    <tableColumn id="5" name=" Difficulty"/>
    <tableColumn id="6" name="File Name"/>
    <tableColumn id="7" name="Valid"/>
    <tableColumn id="8" name="Bug Description"/>
    <tableColumn id="9" name=" Reference"/>
    <tableColumn id="10" name="Comment"/>
  </tableColumns>
</table>
</file>

<file path=xl/tables/table8.xml><?xml version="1.0" encoding="utf-8"?>
<table xmlns="http://schemas.openxmlformats.org/spreadsheetml/2006/main" id="8" name="Table5" displayName="Table5" ref="A1:G119" headerRowCount="1" totalsRowCount="0" totalsRowShown="0">
  <autoFilter ref="A1:G119"/>
  <tableColumns count="7">
    <tableColumn id="1" name="proj"/>
    <tableColumn id="2" name="ID"/>
    <tableColumn id="3" name="test"/>
    <tableColumn id="4" name="seq"/>
    <tableColumn id="5" name="function"/>
    <tableColumn id="6" name="bug type"/>
    <tableColumn id="7" name="explanation"/>
  </tableColumns>
</table>
</file>

<file path=xl/tables/table9.xml><?xml version="1.0" encoding="utf-8"?>
<table xmlns="http://schemas.openxmlformats.org/spreadsheetml/2006/main" id="9" name="Table514" displayName="Table514" ref="A1:J79" headerRowCount="1" totalsRowCount="0" totalsRowShown="0">
  <autoFilter ref="A1:J79"/>
  <tableColumns count="10">
    <tableColumn id="1" name="ID"/>
    <tableColumn id="2" name="test"/>
    <tableColumn id="3" name="Certainty"/>
    <tableColumn id="4" name="seq"/>
    <tableColumn id="5" name="function"/>
    <tableColumn id="6" name="file"/>
    <tableColumn id="7" name="bug type"/>
    <tableColumn id="8" name="justify"/>
    <tableColumn id="9" name="note"/>
    <tableColumn id="10" name="explanation"/>
  </tableColumns>
</table>
</file>

<file path=xl/tables/table10.xml><?xml version="1.0" encoding="utf-8"?>
<table xmlns="http://schemas.openxmlformats.org/spreadsheetml/2006/main" id="10" name="Table6" displayName="Table6" ref="A1:K193" headerRowCount="1" totalsRowCount="0" totalsRowShown="0">
  <autoFilter ref="A1:K193"/>
  <tableColumns count="11">
    <tableColumn id="1" name="ID"/>
    <tableColumn id="2" name="test"/>
    <tableColumn id="3" name="Certainty"/>
    <tableColumn id="4" name="seq"/>
    <tableColumn id="5" name="Column1"/>
    <tableColumn id="6" name="function"/>
    <tableColumn id="7" name="file"/>
    <tableColumn id="8" name="bug type"/>
    <tableColumn id="9" name="justify"/>
    <tableColumn id="10" name="note"/>
    <tableColumn id="11" name="explanation"/>
  </tableColumns>
</table>
</file>

<file path=xl/tables/table11.xml><?xml version="1.0" encoding="utf-8"?>
<table xmlns="http://schemas.openxmlformats.org/spreadsheetml/2006/main" id="11" name="Table7" displayName="Table7" ref="A1:I134" headerRowCount="1" totalsRowCount="0" totalsRowShown="0">
  <autoFilter ref="A1:I134"/>
  <tableColumns count="9">
    <tableColumn id="1" name="proj"/>
    <tableColumn id="2" name="id"/>
    <tableColumn id="3" name="test"/>
    <tableColumn id="4" name="seq"/>
    <tableColumn id="5" name="function"/>
    <tableColumn id="6" name="bug type"/>
    <tableColumn id="7" name="explanation"/>
    <tableColumn id="8" name="Column6"/>
    <tableColumn id="9" name="Column7"/>
  </tableColumns>
</table>
</file>

<file path=xl/tables/table12.xml><?xml version="1.0" encoding="utf-8"?>
<table xmlns="http://schemas.openxmlformats.org/spreadsheetml/2006/main" id="12" name="Table8" displayName="Table8" ref="A1:F134" headerRowCount="1" totalsRowCount="0" totalsRowShown="0">
  <autoFilter ref="A1:F134"/>
  <tableColumns count="6">
    <tableColumn id="1" name="OriProj"/>
    <tableColumn id="2" name="Proj"/>
    <tableColumn id="3" name="Test"/>
    <tableColumn id="4" name="Seq"/>
    <tableColumn id="5" name="Functions"/>
    <tableColumn id="6" name="Explanation"/>
  </tableColumns>
</table>
</file>

<file path=xl/tables/table13.xml><?xml version="1.0" encoding="utf-8"?>
<table xmlns="http://schemas.openxmlformats.org/spreadsheetml/2006/main" id="13" name="Table9" displayName="Table9" ref="A1:G64" headerRowCount="1" totalsRowCount="0" totalsRowShown="0">
  <autoFilter ref="A1:G64"/>
  <tableColumns count="7">
    <tableColumn id="1" name="Proj"/>
    <tableColumn id="2" name="Functions"/>
    <tableColumn id="3" name="Certainty"/>
    <tableColumn id="4" name="comments"/>
    <tableColumn id="5" name="Note"/>
    <tableColumn id="6" name="Link"/>
    <tableColumn id="7" name="GPT Expla"/>
  </tableColumns>
</table>
</file>

<file path=xl/worksheets/_rels/sheet1.xml.rels><?xml version="1.0" encoding="UTF-8"?>
<Relationships xmlns="http://schemas.openxmlformats.org/package/2006/relationships"><Relationship Id="rId1" Type="http://schemas.openxmlformats.org/officeDocument/2006/relationships/hyperlink" Target="https://code4rena.com/reports/2022-01-insure/" TargetMode="External"/><Relationship Id="rId2" Type="http://schemas.openxmlformats.org/officeDocument/2006/relationships/hyperlink" Target="https://code4rena.com/reports/2021-04-marginswap/" TargetMode="External"/><Relationship Id="rId3" Type="http://schemas.openxmlformats.org/officeDocument/2006/relationships/hyperlink" Target="https://code4rena.com/reports/2021-11-unlock/"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github.com/code-423n4/2021-12-yetifinance/blob/main/packages/contracts/contracts/StabilityPool.sol" TargetMode="External"/><Relationship Id="rId2" Type="http://schemas.openxmlformats.org/officeDocument/2006/relationships/table" Target="../tables/table7.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12.xml"/>
</Relationships>
</file>

<file path=xl/worksheets/_rels/sheet5.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4-marginswap/" TargetMode="External"/><Relationship Id="rId3" Type="http://schemas.openxmlformats.org/officeDocument/2006/relationships/hyperlink" Target="https://code4rena.com/reports/2021-04-marginswap/" TargetMode="External"/><Relationship Id="rId4" Type="http://schemas.openxmlformats.org/officeDocument/2006/relationships/hyperlink" Target="https://code4rena.com/reports/2021-06-tracer/" TargetMode="External"/><Relationship Id="rId5" Type="http://schemas.openxmlformats.org/officeDocument/2006/relationships/hyperlink" Target="https://code4rena.com/reports/2021-06-tracer/" TargetMode="External"/><Relationship Id="rId6" Type="http://schemas.openxmlformats.org/officeDocument/2006/relationships/hyperlink" Target="https://code4rena.com/reports/2021-06-tracer/" TargetMode="External"/><Relationship Id="rId7" Type="http://schemas.openxmlformats.org/officeDocument/2006/relationships/hyperlink" Target="https://code4rena.com/reports/2021-06-tracer/" TargetMode="External"/><Relationship Id="rId8" Type="http://schemas.openxmlformats.org/officeDocument/2006/relationships/hyperlink" Target="https://code4rena.com/reports/2021-06-tracer/" TargetMode="External"/><Relationship Id="rId9" Type="http://schemas.openxmlformats.org/officeDocument/2006/relationships/hyperlink" Target="https://code4rena.com/reports/2021-06-tracer/" TargetMode="External"/><Relationship Id="rId10" Type="http://schemas.openxmlformats.org/officeDocument/2006/relationships/hyperlink" Target="https://code4rena.com/reports/2021-07-spartan/" TargetMode="External"/><Relationship Id="rId11" Type="http://schemas.openxmlformats.org/officeDocument/2006/relationships/hyperlink" Target="https://code4rena.com/reports/2021-07-spartan/" TargetMode="External"/><Relationship Id="rId12" Type="http://schemas.openxmlformats.org/officeDocument/2006/relationships/hyperlink" Target="https://code4rena.com/reports/2021-07-spartan/" TargetMode="External"/><Relationship Id="rId13" Type="http://schemas.openxmlformats.org/officeDocument/2006/relationships/hyperlink" Target="https://code4rena.com/reports/2021-07-spartan/" TargetMode="External"/><Relationship Id="rId14" Type="http://schemas.openxmlformats.org/officeDocument/2006/relationships/hyperlink" Target="https://code4rena.com/reports/2021-08-notional/" TargetMode="External"/><Relationship Id="rId15" Type="http://schemas.openxmlformats.org/officeDocument/2006/relationships/hyperlink" Target="https://code4rena.com/reports/2021-11-vader/" TargetMode="External"/><Relationship Id="rId16" Type="http://schemas.openxmlformats.org/officeDocument/2006/relationships/hyperlink" Target="https://code4rena.com/reports/2021-11-vader/" TargetMode="External"/><Relationship Id="rId17" Type="http://schemas.openxmlformats.org/officeDocument/2006/relationships/hyperlink" Target="https://code4rena.com/reports/2022-01-behodler/" TargetMode="External"/><Relationship Id="rId18" Type="http://schemas.openxmlformats.org/officeDocument/2006/relationships/hyperlink" Target="https://code4rena.com/reports/2022-01-behodler/" TargetMode="External"/><Relationship Id="rId19" Type="http://schemas.openxmlformats.org/officeDocument/2006/relationships/hyperlink" Target="https://code4rena.com/reports/2022-01-behodler/" TargetMode="External"/><Relationship Id="rId20" Type="http://schemas.openxmlformats.org/officeDocument/2006/relationships/hyperlink" Target="https://code4rena.com/reports/2022-12-caviar/" TargetMode="External"/><Relationship Id="rId21" Type="http://schemas.openxmlformats.org/officeDocument/2006/relationships/hyperlink" Target="https://code4rena.com/reports/2022-12-caviar/" TargetMode="External"/><Relationship Id="rId22" Type="http://schemas.openxmlformats.org/officeDocument/2006/relationships/table" Target="../tables/table1.xml"/><Relationship Id="rId23" Type="http://schemas.openxmlformats.org/officeDocument/2006/relationships/table" Target="../tables/table13.xml"/>
</Relationships>
</file>

<file path=xl/worksheets/_rels/sheet6.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6-pooltogether/" TargetMode="External"/><Relationship Id="rId3" Type="http://schemas.openxmlformats.org/officeDocument/2006/relationships/hyperlink" Target="https://code4rena.com/reports/2021-06-pooltogether/" TargetMode="External"/><Relationship Id="rId4" Type="http://schemas.openxmlformats.org/officeDocument/2006/relationships/hyperlink" Target="https://code4rena.com/reports/2021-06-tracer/" TargetMode="External"/><Relationship Id="rId5" Type="http://schemas.openxmlformats.org/officeDocument/2006/relationships/hyperlink" Target="https://code4rena.com/reports/2021-06-tracer/" TargetMode="External"/><Relationship Id="rId6" Type="http://schemas.openxmlformats.org/officeDocument/2006/relationships/hyperlink" Target="https://code4rena.com/reports/2021-06-gro/" TargetMode="External"/><Relationship Id="rId7" Type="http://schemas.openxmlformats.org/officeDocument/2006/relationships/hyperlink" Target="https://code4rena.com/reports/2021-10-union/" TargetMode="External"/><Relationship Id="rId8" Type="http://schemas.openxmlformats.org/officeDocument/2006/relationships/hyperlink" Target="https://code4rena.com/reports/2021-10-badgerdao/" TargetMode="External"/><Relationship Id="rId9" Type="http://schemas.openxmlformats.org/officeDocument/2006/relationships/hyperlink" Target="https://code4rena.com/reports/2021-10-badgerdao/" TargetMode="External"/><Relationship Id="rId10" Type="http://schemas.openxmlformats.org/officeDocument/2006/relationships/hyperlink" Target="https://code4rena.com/reports/2021-10-badgerdao/" TargetMode="External"/><Relationship Id="rId11" Type="http://schemas.openxmlformats.org/officeDocument/2006/relationships/hyperlink" Target="https://code4rena.com/reports/2021-11-vader/" TargetMode="External"/><Relationship Id="rId12" Type="http://schemas.openxmlformats.org/officeDocument/2006/relationships/hyperlink" Target="https://code4rena.com/reports/2021-12-mellow/" TargetMode="External"/><Relationship Id="rId13" Type="http://schemas.openxmlformats.org/officeDocument/2006/relationships/hyperlink" Target="https://code4rena.com/reports/2021-12-perennial/" TargetMode="External"/><Relationship Id="rId14" Type="http://schemas.openxmlformats.org/officeDocument/2006/relationships/hyperlink" Target="https://code4rena.com/reports/2021-12-perennial/" TargetMode="External"/><Relationship Id="rId15" Type="http://schemas.openxmlformats.org/officeDocument/2006/relationships/hyperlink" Target="https://code4rena.com/reports/2022-01-insure/" TargetMode="External"/><Relationship Id="rId16" Type="http://schemas.openxmlformats.org/officeDocument/2006/relationships/hyperlink" Target="https://github.com/code-423n4/2022-01-trader-joe-findings/issues/140" TargetMode="External"/><Relationship Id="rId17"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6-tracer/" TargetMode="External"/><Relationship Id="rId3" Type="http://schemas.openxmlformats.org/officeDocument/2006/relationships/hyperlink" Target="https://code4rena.com/reports/2021-06-tracer/" TargetMode="External"/><Relationship Id="rId4" Type="http://schemas.openxmlformats.org/officeDocument/2006/relationships/hyperlink" Target="https://code4rena.com/reports/2021-06-gro/" TargetMode="External"/><Relationship Id="rId5" Type="http://schemas.openxmlformats.org/officeDocument/2006/relationships/hyperlink" Target="https://code4rena.com/reports/2021-10-union/" TargetMode="External"/><Relationship Id="rId6" Type="http://schemas.openxmlformats.org/officeDocument/2006/relationships/hyperlink" Target="https://code4rena.com/reports/2021-10-badgerdao/" TargetMode="External"/><Relationship Id="rId7" Type="http://schemas.openxmlformats.org/officeDocument/2006/relationships/hyperlink" Target="https://code4rena.com/reports/2021-11-vader/" TargetMode="External"/><Relationship Id="rId8" Type="http://schemas.openxmlformats.org/officeDocument/2006/relationships/hyperlink" Target="https://code4rena.com/reports/2021-12-mellow/" TargetMode="External"/><Relationship Id="rId9" Type="http://schemas.openxmlformats.org/officeDocument/2006/relationships/hyperlink" Target="https://code4rena.com/reports/2021-12-perennial/" TargetMode="External"/><Relationship Id="rId10" Type="http://schemas.openxmlformats.org/officeDocument/2006/relationships/hyperlink" Target="https://code4rena.com/reports/2022-01-insure/" TargetMode="External"/><Relationship Id="rId11" Type="http://schemas.openxmlformats.org/officeDocument/2006/relationships/hyperlink" Target="https://github.com/code-423n4/2022-01-trader-joe-findings/issues/140" TargetMode="External"/><Relationship Id="rId12"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hyperlink" Target="https://code4rena.com/reports/2021-04-vader/" TargetMode="External"/><Relationship Id="rId2" Type="http://schemas.openxmlformats.org/officeDocument/2006/relationships/hyperlink" Target="https://code4rena.com/reports/2021-04-vader/" TargetMode="External"/><Relationship Id="rId3" Type="http://schemas.openxmlformats.org/officeDocument/2006/relationships/hyperlink" Target="https://code4rena.com/reports/2021-04-vader/" TargetMode="External"/><Relationship Id="rId4" Type="http://schemas.openxmlformats.org/officeDocument/2006/relationships/hyperlink" Target="https://code4rena.com/reports/2021-06-gro/" TargetMode="External"/><Relationship Id="rId5" Type="http://schemas.openxmlformats.org/officeDocument/2006/relationships/hyperlink" Target="https://code4rena.com/reports/2021-07-spartan/" TargetMode="External"/><Relationship Id="rId6" Type="http://schemas.openxmlformats.org/officeDocument/2006/relationships/hyperlink" Target="https://code4rena.com/reports/2021-08-notional/" TargetMode="External"/><Relationship Id="rId7" Type="http://schemas.openxmlformats.org/officeDocument/2006/relationships/hyperlink" Target="https://code4rena.com/reports/2021-08-notional/" TargetMode="External"/><Relationship Id="rId8" Type="http://schemas.openxmlformats.org/officeDocument/2006/relationships/hyperlink" Target="https://code4rena.com/reports/2021-10-ambire/" TargetMode="External"/><Relationship Id="rId9" Type="http://schemas.openxmlformats.org/officeDocument/2006/relationships/hyperlink" Target="https://code4rena.com/reports/2021-11-bootfinance/" TargetMode="External"/><Relationship Id="rId10" Type="http://schemas.openxmlformats.org/officeDocument/2006/relationships/hyperlink" Target="https://code4rena.com/reports/2021-11-bootfinance/" TargetMode="External"/><Relationship Id="rId11" Type="http://schemas.openxmlformats.org/officeDocument/2006/relationships/hyperlink" Target="https://code4rena.com/reports/2021-11-vader/" TargetMode="External"/><Relationship Id="rId12" Type="http://schemas.openxmlformats.org/officeDocument/2006/relationships/hyperlink" Target="https://code4rena.com/reports/2022-01-insure/" TargetMode="External"/><Relationship Id="rId13" Type="http://schemas.openxmlformats.org/officeDocument/2006/relationships/hyperlink" Target="https://code4rena.com/reports/2022-01-insure/" TargetMode="External"/><Relationship Id="rId14" Type="http://schemas.openxmlformats.org/officeDocument/2006/relationships/hyperlink" Target="https://code4rena.com/reports/2022-01-insure/" TargetMode="External"/><Relationship Id="rId15" Type="http://schemas.openxmlformats.org/officeDocument/2006/relationships/hyperlink" Target="https://code4rena.com/reports/2022-01-behodler/" TargetMode="External"/><Relationship Id="rId16" Type="http://schemas.openxmlformats.org/officeDocument/2006/relationships/hyperlink" Target="https://code4rena.com/reports/2022-03-lifinance/" TargetMode="External"/><Relationship Id="rId17" Type="http://schemas.openxmlformats.org/officeDocument/2006/relationships/hyperlink" Target="https://code4rena.com/reports/2022-05-aura/" TargetMode="External"/><Relationship Id="rId18" Type="http://schemas.openxmlformats.org/officeDocument/2006/relationships/table" Target="../tables/table9.xml"/>
</Relationships>
</file>

<file path=xl/worksheets/_rels/sheet11.xml.rels><?xml version="1.0" encoding="UTF-8"?>
<Relationships xmlns="http://schemas.openxmlformats.org/package/2006/relationships"><Relationship Id="rId1" Type="http://schemas.openxmlformats.org/officeDocument/2006/relationships/table" Target="../tables/table11.xml"/>
</Relationships>
</file>

<file path=xl/worksheets/_rels/sheet12.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9-sushitrident-2/" TargetMode="External"/><Relationship Id="rId3" Type="http://schemas.openxmlformats.org/officeDocument/2006/relationships/hyperlink" Target="https://code4rena.com/reports/2021-09-sushitrident-2/" TargetMode="External"/><Relationship Id="rId4" Type="http://schemas.openxmlformats.org/officeDocument/2006/relationships/hyperlink" Target="https://code4rena.com/reports/2021-09-sushitrident-2/" TargetMode="External"/><Relationship Id="rId5" Type="http://schemas.openxmlformats.org/officeDocument/2006/relationships/hyperlink" Target="https://code4rena.com/reports/2021-09-sushitrident-2/" TargetMode="External"/><Relationship Id="rId6" Type="http://schemas.openxmlformats.org/officeDocument/2006/relationships/hyperlink" Target="https://code4rena.com/reports/2021-09-sushitrident-2/" TargetMode="External"/><Relationship Id="rId7" Type="http://schemas.openxmlformats.org/officeDocument/2006/relationships/hyperlink" Target="https://code4rena.com/reports/2021-10-mochi/" TargetMode="External"/><Relationship Id="rId8" Type="http://schemas.openxmlformats.org/officeDocument/2006/relationships/hyperlink" Target="https://code4rena.com/reports/2021-10-mochi/" TargetMode="External"/><Relationship Id="rId9" Type="http://schemas.openxmlformats.org/officeDocument/2006/relationships/hyperlink" Target="https://code4rena.com/reports/2021-11-unlock/" TargetMode="External"/><Relationship Id="rId10" Type="http://schemas.openxmlformats.org/officeDocument/2006/relationships/hyperlink" Target="https://code4rena.com/reports/2021-11-unlock/" TargetMode="External"/><Relationship Id="rId11" Type="http://schemas.openxmlformats.org/officeDocument/2006/relationships/hyperlink" Target="https://code4rena.com/reports/2022-02-concur/" TargetMode="External"/><Relationship Id="rId12" Type="http://schemas.openxmlformats.org/officeDocument/2006/relationships/drawing" Target="../drawings/drawing2.xml"/>
</Relationships>
</file>

<file path=xl/worksheets/_rels/sheet13.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9-sushitrident-2/" TargetMode="External"/><Relationship Id="rId3" Type="http://schemas.openxmlformats.org/officeDocument/2006/relationships/hyperlink" Target="https://code4rena.com/reports/2021-09-sushitrident-2/" TargetMode="External"/><Relationship Id="rId4" Type="http://schemas.openxmlformats.org/officeDocument/2006/relationships/hyperlink" Target="https://code4rena.com/reports/2021-09-sushitrident-2/" TargetMode="External"/><Relationship Id="rId5" Type="http://schemas.openxmlformats.org/officeDocument/2006/relationships/hyperlink" Target="https://code4rena.com/reports/2021-10-mochi/" TargetMode="External"/><Relationship Id="rId6" Type="http://schemas.openxmlformats.org/officeDocument/2006/relationships/hyperlink" Target="https://code4rena.com/reports/2021-10-mochi/" TargetMode="External"/><Relationship Id="rId7" Type="http://schemas.openxmlformats.org/officeDocument/2006/relationships/hyperlink" Target="https://code4rena.com/reports/2021-11-unlock/" TargetMode="External"/><Relationship Id="rId8" Type="http://schemas.openxmlformats.org/officeDocument/2006/relationships/hyperlink" Target="https://code4rena.com/reports/2021-11-unlock/" TargetMode="External"/><Relationship Id="rId9" Type="http://schemas.openxmlformats.org/officeDocument/2006/relationships/hyperlink" Target="https://code4rena.com/reports/2022-02-concur/" TargetMode="External"/><Relationship Id="rId10" Type="http://schemas.openxmlformats.org/officeDocument/2006/relationships/drawing" Target="../drawings/drawing3.xml"/>
</Relationships>
</file>

<file path=xl/worksheets/_rels/sheet14.xml.rels><?xml version="1.0" encoding="UTF-8"?>
<Relationships xmlns="http://schemas.openxmlformats.org/package/2006/relationships"><Relationship Id="rId1" Type="http://schemas.openxmlformats.org/officeDocument/2006/relationships/drawing" Target="../drawings/drawing4.xml"/>
</Relationships>
</file>

<file path=xl/worksheets/_rels/sheet15.xml.rels><?xml version="1.0" encoding="UTF-8"?>
<Relationships xmlns="http://schemas.openxmlformats.org/package/2006/relationships"><Relationship Id="rId1" Type="http://schemas.openxmlformats.org/officeDocument/2006/relationships/hyperlink" Target="https://code4rena.com/reports/2021-04-marginswap/" TargetMode="External"/><Relationship Id="rId2" Type="http://schemas.openxmlformats.org/officeDocument/2006/relationships/hyperlink" Target="https://code4rena.com/reports/2021-04-marginswap/" TargetMode="External"/><Relationship Id="rId3" Type="http://schemas.openxmlformats.org/officeDocument/2006/relationships/hyperlink" Target="https://code4rena.com/reports/2021-04-vader/" TargetMode="External"/><Relationship Id="rId4" Type="http://schemas.openxmlformats.org/officeDocument/2006/relationships/hyperlink" Target="https://code4rena.com/reports/2021-04-vader/" TargetMode="External"/><Relationship Id="rId5" Type="http://schemas.openxmlformats.org/officeDocument/2006/relationships/hyperlink" Target="https://code4rena.com/reports/2021-05-yield/" TargetMode="External"/><Relationship Id="rId6" Type="http://schemas.openxmlformats.org/officeDocument/2006/relationships/hyperlink" Target="https://code4rena.com/reports/2021-06-tracer/" TargetMode="External"/><Relationship Id="rId7" Type="http://schemas.openxmlformats.org/officeDocument/2006/relationships/hyperlink" Target="https://code4rena.com/reports/2021-10-badgerdao/" TargetMode="External"/><Relationship Id="rId8" Type="http://schemas.openxmlformats.org/officeDocument/2006/relationships/hyperlink" Target="https://code4rena.com/reports/2021-10-badgerdao/" TargetMode="External"/><Relationship Id="rId9" Type="http://schemas.openxmlformats.org/officeDocument/2006/relationships/hyperlink" Target="https://code4rena.com/reports/2021-10-badgerdao/" TargetMode="External"/><Relationship Id="rId10" Type="http://schemas.openxmlformats.org/officeDocument/2006/relationships/hyperlink" Target="https://code4rena.com/reports/2021-10-badgerdao/" TargetMode="External"/><Relationship Id="rId11" Type="http://schemas.openxmlformats.org/officeDocument/2006/relationships/hyperlink" Target="https://code4rena.com/reports/2021-12-sublime/" TargetMode="External"/><Relationship Id="rId12" Type="http://schemas.openxmlformats.org/officeDocument/2006/relationships/hyperlink" Target="https://code4rena.com/reports/2022-01-insure/" TargetMode="External"/><Relationship Id="rId13" Type="http://schemas.openxmlformats.org/officeDocument/2006/relationships/hyperlink" Target="https://code4rena.com/reports/2022-05-sturdy/" TargetMode="External"/><Relationship Id="rId14" Type="http://schemas.openxmlformats.org/officeDocument/2006/relationships/table" Target="../tables/table10.xml"/>
</Relationships>
</file>

<file path=xl/worksheets/_rels/sheet16.xml.rels><?xml version="1.0" encoding="UTF-8"?>
<Relationships xmlns="http://schemas.openxmlformats.org/package/2006/relationships"><Relationship Id="rId1" Type="http://schemas.openxmlformats.org/officeDocument/2006/relationships/table" Target="../tables/table2.xml"/>
</Relationships>
</file>

<file path=xl/worksheets/_rels/sheet17.xml.rels><?xml version="1.0" encoding="UTF-8"?>
<Relationships xmlns="http://schemas.openxmlformats.org/package/2006/relationships"><Relationship Id="rId1" Type="http://schemas.openxmlformats.org/officeDocument/2006/relationships/hyperlink" Target="https://code4rena.com/reports/2021-04-vader/" TargetMode="External"/><Relationship Id="rId2" Type="http://schemas.openxmlformats.org/officeDocument/2006/relationships/hyperlink" Target="https://code4rena.com/reports/2021-07-spartan/" TargetMode="External"/><Relationship Id="rId3" Type="http://schemas.openxmlformats.org/officeDocument/2006/relationships/hyperlink" Target="https://code4rena.com/reports/2021-09-sushitrident-2/" TargetMode="External"/><Relationship Id="rId4" Type="http://schemas.openxmlformats.org/officeDocument/2006/relationships/hyperlink" Target="https://code4rena.com/reports/2021-11-vader/" TargetMode="External"/><Relationship Id="rId5" Type="http://schemas.openxmlformats.org/officeDocument/2006/relationships/hyperlink" Target="https://code4rena.com/reports/2021-11-malt/" TargetMode="External"/><Relationship Id="rId6" Type="http://schemas.openxmlformats.org/officeDocument/2006/relationships/hyperlink" Target="https://code4rena.com/reports/2022-01-behodler/" TargetMode="External"/><Relationship Id="rId7"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22" activeCellId="0" sqref="G14:I22"/>
    </sheetView>
  </sheetViews>
  <sheetFormatPr defaultColWidth="8.4296875" defaultRowHeight="14.5" zeroHeight="false" outlineLevelRow="0" outlineLevelCol="0"/>
  <sheetData>
    <row r="1" customFormat="false" ht="14.5" hidden="false" customHeight="false" outlineLevel="0" collapsed="false">
      <c r="B1" s="0" t="s">
        <v>0</v>
      </c>
    </row>
    <row r="2" customFormat="false" ht="14.5" hidden="false" customHeight="false" outlineLevel="0" collapsed="false">
      <c r="A2" s="1" t="n">
        <v>71</v>
      </c>
      <c r="B2" s="1" t="s">
        <v>1</v>
      </c>
      <c r="C2" s="1" t="s">
        <v>2</v>
      </c>
      <c r="D2" s="2" t="s">
        <v>3</v>
      </c>
      <c r="E2" s="1" t="s">
        <v>4</v>
      </c>
      <c r="F2" s="1" t="s">
        <v>5</v>
      </c>
      <c r="G2" s="3" t="s">
        <v>6</v>
      </c>
      <c r="H2" s="4" t="s">
        <v>7</v>
      </c>
    </row>
    <row r="3" customFormat="false" ht="14.5" hidden="false" customHeight="false" outlineLevel="0" collapsed="false">
      <c r="A3" s="5" t="n">
        <v>3</v>
      </c>
      <c r="B3" s="5" t="s">
        <v>8</v>
      </c>
      <c r="C3" s="5" t="s">
        <v>9</v>
      </c>
      <c r="D3" s="1" t="s">
        <v>10</v>
      </c>
      <c r="E3" s="5" t="s">
        <v>11</v>
      </c>
      <c r="F3" s="5" t="s">
        <v>12</v>
      </c>
      <c r="G3" s="6" t="s">
        <v>13</v>
      </c>
      <c r="H3" s="5" t="s">
        <v>14</v>
      </c>
    </row>
    <row r="4" customFormat="false" ht="14.5" hidden="false" customHeight="false" outlineLevel="0" collapsed="false">
      <c r="A4" s="1" t="n">
        <v>54</v>
      </c>
      <c r="B4" s="1" t="s">
        <v>1</v>
      </c>
      <c r="C4" s="1" t="s">
        <v>15</v>
      </c>
      <c r="D4" s="1" t="s">
        <v>16</v>
      </c>
      <c r="E4" s="1" t="s">
        <v>17</v>
      </c>
      <c r="F4" s="1" t="s">
        <v>18</v>
      </c>
      <c r="G4" s="7" t="s">
        <v>19</v>
      </c>
      <c r="H4" s="1" t="s">
        <v>20</v>
      </c>
    </row>
    <row r="14" customFormat="false" ht="13.8" hidden="false" customHeight="false" outlineLevel="0" collapsed="false"/>
    <row r="15" customFormat="false" ht="13.8" hidden="false" customHeight="false" outlineLevel="0" collapsed="false"/>
    <row r="16" customFormat="false" ht="13.8" hidden="false" customHeight="false" outlineLevel="0" collapsed="false"/>
    <row r="17" customFormat="false" ht="13.8" hidden="false" customHeight="false" outlineLevel="0" collapsed="false"/>
    <row r="18" customFormat="false" ht="13.8" hidden="false" customHeight="false" outlineLevel="0" collapsed="false"/>
    <row r="19" customFormat="false" ht="13.8" hidden="false" customHeight="false" outlineLevel="0" collapsed="false"/>
    <row r="20" customFormat="false" ht="13.8" hidden="false" customHeight="false" outlineLevel="0" collapsed="false"/>
    <row r="21" customFormat="false" ht="13.8" hidden="false" customHeight="false" outlineLevel="0" collapsed="false"/>
    <row r="22" customFormat="false" ht="13.8" hidden="false" customHeight="false" outlineLevel="0" collapsed="false"/>
  </sheetData>
  <hyperlinks>
    <hyperlink ref="G2" r:id="rId1" location="h-02-typo-in-pooltemplate-unlock-function-results-in-user-being-able-to-unlock-multiple-times" display="https://code4rena.com/reports/2022-01-insure/#h-02-typo-in-pooltemplate-unlock-function-results-in-user-being-able-to-unlock-multiple-times"/>
    <hyperlink ref="G3" r:id="rId2" location="h-06-users-are-credited-more-tokens-when-paying-back-debt-with-registertradeandborrow" display="https://code4rena.com/reports/2021-04-marginswap/#h-06-users-are-credited-more-tokens-when-paying-back-debt-with-registertradeandborrow"/>
    <hyperlink ref="G4" r:id="rId3" location="overview" display="https://code4rena.com/reports/2021-11-unlock/#overview"/>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1" sqref="G14:I22 D2"/>
    </sheetView>
  </sheetViews>
  <sheetFormatPr defaultColWidth="8.4296875" defaultRowHeight="14.5" zeroHeight="false" outlineLevelRow="0" outlineLevelCol="0"/>
  <cols>
    <col collapsed="false" customWidth="true" hidden="false" outlineLevel="0" max="1" min="1" style="8" width="5.46"/>
    <col collapsed="false" customWidth="true" hidden="false" outlineLevel="0" max="2" min="2" style="0" width="9"/>
    <col collapsed="false" customWidth="true" hidden="false" outlineLevel="0" max="3" min="3" style="0" width="8.72"/>
    <col collapsed="false" customWidth="true" hidden="false" outlineLevel="0" max="4" min="4" style="0" width="7"/>
    <col collapsed="false" customWidth="true" hidden="false" outlineLevel="0" max="5" min="5" style="0" width="6.46"/>
    <col collapsed="false" customWidth="true" hidden="false" outlineLevel="0" max="6" min="6" style="0" width="14"/>
    <col collapsed="false" customWidth="true" hidden="false" outlineLevel="0" max="7" min="7" style="0" width="7.73"/>
    <col collapsed="false" customWidth="true" hidden="false" outlineLevel="0" max="8" min="8" style="0" width="30.72"/>
  </cols>
  <sheetData>
    <row r="1" customFormat="false" ht="14.5" hidden="false" customHeight="false" outlineLevel="0" collapsed="false">
      <c r="A1" s="9" t="s">
        <v>21</v>
      </c>
      <c r="B1" s="10" t="s">
        <v>22</v>
      </c>
      <c r="C1" s="10" t="s">
        <v>23</v>
      </c>
      <c r="D1" s="10" t="s">
        <v>24</v>
      </c>
      <c r="E1" s="10" t="s">
        <v>25</v>
      </c>
      <c r="F1" s="10" t="s">
        <v>26</v>
      </c>
      <c r="G1" s="10" t="s">
        <v>27</v>
      </c>
      <c r="H1" s="10" t="s">
        <v>28</v>
      </c>
      <c r="I1" s="10" t="s">
        <v>29</v>
      </c>
      <c r="J1" s="10" t="s">
        <v>30</v>
      </c>
    </row>
    <row r="2" customFormat="false" ht="14.5" hidden="true" customHeight="false" outlineLevel="0" collapsed="false">
      <c r="A2" s="11" t="n">
        <v>3</v>
      </c>
      <c r="B2" s="5" t="s">
        <v>31</v>
      </c>
      <c r="C2" s="5" t="s">
        <v>32</v>
      </c>
      <c r="D2" s="5" t="str">
        <f aca="false">IF(OR(LEFT(C2, 2)="SE", LEFT(C2, 2)="S4"), "C6", IF(LEFT(C2, 2)="S1", "C1", IF(OR(LEFT(C2, 2)="S2", LEFT(C2, 2)="S5"), "C3&amp;5", IF(LEFT(C2, 2)="S3", "C4", IF(LEFT(C2, 2)="SC", "C7", IF(LEFT(C2, 2)="S6", "C2", "Other"))))))</f>
        <v>C6</v>
      </c>
      <c r="E2" s="5" t="n">
        <v>1</v>
      </c>
      <c r="F2" s="5" t="s">
        <v>33</v>
      </c>
      <c r="G2" s="12" t="s">
        <v>34</v>
      </c>
      <c r="H2" s="5" t="s">
        <v>35</v>
      </c>
      <c r="I2" s="5" t="s">
        <v>36</v>
      </c>
      <c r="J2" s="5"/>
    </row>
    <row r="3" customFormat="false" ht="14.5" hidden="true" customHeight="false" outlineLevel="0" collapsed="false">
      <c r="A3" s="13" t="n">
        <v>3</v>
      </c>
      <c r="B3" s="1" t="s">
        <v>37</v>
      </c>
      <c r="C3" s="14" t="s">
        <v>38</v>
      </c>
      <c r="D3" s="15" t="str">
        <f aca="false">IF(OR(LEFT(C3, 2)="SE", LEFT(C3, 2)="S4"), "C6", IF(LEFT(C3, 2)="S1", "C1", IF(OR(LEFT(C3, 2)="S2", LEFT(C3, 2)="S5"), "C3&amp;5", IF(LEFT(C3, 2)="S3", "C4", IF(LEFT(C3, 2)="SC", "C7", IF(LEFT(C3, 2)="S6", "C2", "Other"))))))</f>
        <v>C1</v>
      </c>
      <c r="E3" s="1" t="n">
        <v>1</v>
      </c>
      <c r="F3" s="1" t="s">
        <v>39</v>
      </c>
      <c r="G3" s="12" t="s">
        <v>34</v>
      </c>
      <c r="H3" s="1" t="s">
        <v>40</v>
      </c>
      <c r="I3" s="1" t="s">
        <v>41</v>
      </c>
      <c r="J3" s="1"/>
    </row>
    <row r="4" customFormat="false" ht="14.5" hidden="true" customHeight="false" outlineLevel="0" collapsed="false">
      <c r="A4" s="11" t="n">
        <v>3</v>
      </c>
      <c r="B4" s="5" t="s">
        <v>42</v>
      </c>
      <c r="C4" s="5" t="s">
        <v>43</v>
      </c>
      <c r="D4" s="5" t="str">
        <f aca="false">IF(OR(LEFT(C4, 2)="SE", LEFT(C4, 2)="S4"), "C6", IF(LEFT(C4, 2)="S1", "C1", IF(OR(LEFT(C4, 2)="S2", LEFT(C4, 2)="S5"), "C3&amp;5", IF(LEFT(C4, 2)="S3", "C4", IF(LEFT(C4, 2)="SC", "C7", IF(LEFT(C4, 2)="S6", "C2", "Other"))))))</f>
        <v>C2</v>
      </c>
      <c r="E4" s="5" t="n">
        <v>1</v>
      </c>
      <c r="F4" s="5" t="s">
        <v>44</v>
      </c>
      <c r="G4" s="12" t="s">
        <v>34</v>
      </c>
      <c r="H4" s="5" t="s">
        <v>45</v>
      </c>
      <c r="I4" s="5" t="s">
        <v>46</v>
      </c>
      <c r="J4" s="5"/>
    </row>
    <row r="5" customFormat="false" ht="14.5" hidden="true" customHeight="false" outlineLevel="0" collapsed="false">
      <c r="A5" s="13" t="n">
        <v>3</v>
      </c>
      <c r="B5" s="1" t="s">
        <v>47</v>
      </c>
      <c r="C5" s="1" t="s">
        <v>48</v>
      </c>
      <c r="D5" s="1" t="str">
        <f aca="false">IF(OR(LEFT(C5, 2)="SE", LEFT(C5, 2)="S4"), "C6", IF(LEFT(C5, 2)="S1", "C1", IF(OR(LEFT(C5, 2)="S2", LEFT(C5, 2)="S5"), "C3&amp;5", IF(LEFT(C5, 2)="S3", "C4", IF(LEFT(C5, 2)="SC", "C7", IF(LEFT(C5, 2)="S6", "C2", "Other"))))))</f>
        <v>C2</v>
      </c>
      <c r="E5" s="1" t="n">
        <v>1</v>
      </c>
      <c r="F5" s="1" t="s">
        <v>10</v>
      </c>
      <c r="G5" s="12" t="s">
        <v>34</v>
      </c>
      <c r="H5" s="1" t="s">
        <v>49</v>
      </c>
      <c r="I5" s="1" t="s">
        <v>50</v>
      </c>
      <c r="J5" s="1"/>
    </row>
    <row r="6" customFormat="false" ht="14.5" hidden="false" customHeight="false" outlineLevel="0" collapsed="false">
      <c r="A6" s="11" t="n">
        <v>3</v>
      </c>
      <c r="B6" s="5" t="s">
        <v>51</v>
      </c>
      <c r="C6" s="5" t="s">
        <v>1</v>
      </c>
      <c r="D6" s="5" t="str">
        <f aca="false">IF(OR(LEFT(C6, 2)="SE", LEFT(C6, 2)="S4"), "C6", IF(LEFT(C6, 2)="S1", "C1", IF(OR(LEFT(C6, 2)="S2", LEFT(C6, 2)="S5"), "C3&amp;5", IF(LEFT(C6, 2)="S3", "C4", IF(LEFT(C6, 2)="SC", "C7", IF(LEFT(C6, 2)="S6", "C2", "Other"))))))</f>
        <v>C7</v>
      </c>
      <c r="E6" s="5" t="n">
        <v>1</v>
      </c>
      <c r="F6" s="5" t="s">
        <v>52</v>
      </c>
      <c r="G6" s="12" t="s">
        <v>34</v>
      </c>
      <c r="H6" s="5" t="s">
        <v>53</v>
      </c>
      <c r="I6" s="5" t="s">
        <v>54</v>
      </c>
      <c r="J6" s="5"/>
    </row>
    <row r="7" customFormat="false" ht="14.5" hidden="true" customHeight="false" outlineLevel="0" collapsed="false">
      <c r="A7" s="16" t="n">
        <v>3</v>
      </c>
      <c r="B7" s="1" t="s">
        <v>55</v>
      </c>
      <c r="C7" s="1" t="s">
        <v>56</v>
      </c>
      <c r="D7" s="1" t="str">
        <f aca="false">IF(OR(LEFT(C7, 2)="SE", LEFT(C7, 2)="S4"), "C6", IF(LEFT(C7, 2)="S1", "C1", IF(OR(LEFT(C7, 2)="S2", LEFT(C7, 2)="S5"), "C3&amp;5", IF(LEFT(C7, 2)="S3", "C4", IF(LEFT(C7, 2)="SC", "C7", IF(LEFT(C7, 2)="S6", "C2", "Other"))))))</f>
        <v>C4</v>
      </c>
      <c r="E7" s="1" t="n">
        <v>1</v>
      </c>
      <c r="F7" s="1" t="s">
        <v>10</v>
      </c>
      <c r="G7" s="12" t="s">
        <v>34</v>
      </c>
      <c r="H7" s="1" t="s">
        <v>57</v>
      </c>
      <c r="I7" s="1" t="s">
        <v>58</v>
      </c>
      <c r="J7" s="1"/>
    </row>
    <row r="8" customFormat="false" ht="14.5" hidden="false" customHeight="false" outlineLevel="0" collapsed="false">
      <c r="A8" s="11" t="n">
        <v>5</v>
      </c>
      <c r="B8" s="5" t="s">
        <v>37</v>
      </c>
      <c r="C8" s="5" t="s">
        <v>1</v>
      </c>
      <c r="D8" s="5" t="str">
        <f aca="false">IF(OR(LEFT(C8, 2)="SE", LEFT(C8, 2)="S4"), "C6", IF(LEFT(C8, 2)="S1", "C1", IF(OR(LEFT(C8, 2)="S2", LEFT(C8, 2)="S5"), "C3&amp;5", IF(LEFT(C8, 2)="S3", "C4", IF(LEFT(C8, 2)="SC", "C7", IF(LEFT(C8, 2)="S6", "C2", "Other"))))))</f>
        <v>C7</v>
      </c>
      <c r="E8" s="5" t="n">
        <v>1</v>
      </c>
      <c r="F8" s="5" t="s">
        <v>59</v>
      </c>
      <c r="G8" s="12" t="s">
        <v>34</v>
      </c>
      <c r="H8" s="5" t="s">
        <v>60</v>
      </c>
      <c r="I8" s="5" t="s">
        <v>61</v>
      </c>
      <c r="J8" s="5"/>
    </row>
    <row r="9" customFormat="false" ht="14.5" hidden="true" customHeight="false" outlineLevel="0" collapsed="false">
      <c r="A9" s="13" t="n">
        <v>5</v>
      </c>
      <c r="B9" s="1" t="s">
        <v>42</v>
      </c>
      <c r="C9" s="1" t="s">
        <v>32</v>
      </c>
      <c r="D9" s="1" t="str">
        <f aca="false">IF(OR(LEFT(C9, 2)="SE", LEFT(C9, 2)="S4"), "C6", IF(LEFT(C9, 2)="S1", "C1", IF(OR(LEFT(C9, 2)="S2", LEFT(C9, 2)="S5"), "C3&amp;5", IF(LEFT(C9, 2)="S3", "C4", IF(LEFT(C9, 2)="SC", "C7", IF(LEFT(C9, 2)="S6", "C2", "Other"))))))</f>
        <v>C6</v>
      </c>
      <c r="E9" s="1" t="n">
        <v>1</v>
      </c>
      <c r="F9" s="1" t="s">
        <v>62</v>
      </c>
      <c r="G9" s="12" t="s">
        <v>34</v>
      </c>
      <c r="H9" s="1" t="s">
        <v>63</v>
      </c>
      <c r="I9" s="1" t="s">
        <v>64</v>
      </c>
      <c r="J9" s="1"/>
    </row>
    <row r="10" customFormat="false" ht="14.5" hidden="true" customHeight="false" outlineLevel="0" collapsed="false">
      <c r="A10" s="11" t="n">
        <v>5</v>
      </c>
      <c r="B10" s="5" t="s">
        <v>47</v>
      </c>
      <c r="C10" s="5" t="s">
        <v>65</v>
      </c>
      <c r="D10" s="5" t="str">
        <f aca="false">IF(OR(LEFT(C10, 2)="SE", LEFT(C10, 2)="S4"), "C6", IF(LEFT(C10, 2)="S1", "C1", IF(OR(LEFT(C10, 2)="S2", LEFT(C10, 2)="S5"), "C3&amp;5", IF(LEFT(C10, 2)="S3", "C4", IF(LEFT(C10, 2)="SC", "C7", IF(LEFT(C10, 2)="S6", "C2", "Other"))))))</f>
        <v>C6</v>
      </c>
      <c r="E10" s="5" t="n">
        <v>3</v>
      </c>
      <c r="F10" s="5" t="s">
        <v>62</v>
      </c>
      <c r="G10" s="12" t="s">
        <v>34</v>
      </c>
      <c r="H10" s="5" t="s">
        <v>66</v>
      </c>
      <c r="I10" s="5" t="s">
        <v>67</v>
      </c>
      <c r="J10" s="5"/>
    </row>
    <row r="11" customFormat="false" ht="14.5" hidden="true" customHeight="false" outlineLevel="0" collapsed="false">
      <c r="A11" s="13" t="n">
        <v>5</v>
      </c>
      <c r="B11" s="1" t="s">
        <v>55</v>
      </c>
      <c r="C11" s="1" t="s">
        <v>48</v>
      </c>
      <c r="D11" s="1" t="str">
        <f aca="false">IF(OR(LEFT(C11, 2)="SE", LEFT(C11, 2)="S4"), "C6", IF(LEFT(C11, 2)="S1", "C1", IF(OR(LEFT(C11, 2)="S2", LEFT(C11, 2)="S5"), "C3&amp;5", IF(LEFT(C11, 2)="S3", "C4", IF(LEFT(C11, 2)="SC", "C7", IF(LEFT(C11, 2)="S6", "C2", "Other"))))))</f>
        <v>C2</v>
      </c>
      <c r="E11" s="1" t="n">
        <v>1</v>
      </c>
      <c r="F11" s="1" t="s">
        <v>68</v>
      </c>
      <c r="G11" s="12" t="s">
        <v>34</v>
      </c>
      <c r="H11" s="1" t="s">
        <v>69</v>
      </c>
      <c r="I11" s="1" t="s">
        <v>70</v>
      </c>
      <c r="J11" s="1"/>
    </row>
    <row r="12" customFormat="false" ht="14.5" hidden="true" customHeight="false" outlineLevel="0" collapsed="false">
      <c r="A12" s="11" t="n">
        <v>5</v>
      </c>
      <c r="B12" s="5" t="s">
        <v>71</v>
      </c>
      <c r="C12" s="5" t="s">
        <v>48</v>
      </c>
      <c r="D12" s="5" t="str">
        <f aca="false">IF(OR(LEFT(C12, 2)="SE", LEFT(C12, 2)="S4"), "C6", IF(LEFT(C12, 2)="S1", "C1", IF(OR(LEFT(C12, 2)="S2", LEFT(C12, 2)="S5"), "C3&amp;5", IF(LEFT(C12, 2)="S3", "C4", IF(LEFT(C12, 2)="SC", "C7", IF(LEFT(C12, 2)="S6", "C2", "Other"))))))</f>
        <v>C2</v>
      </c>
      <c r="E12" s="5" t="n">
        <v>3</v>
      </c>
      <c r="F12" s="1" t="s">
        <v>68</v>
      </c>
      <c r="G12" s="12" t="s">
        <v>34</v>
      </c>
      <c r="H12" s="5" t="s">
        <v>72</v>
      </c>
      <c r="I12" s="5" t="s">
        <v>73</v>
      </c>
      <c r="J12" s="5"/>
    </row>
    <row r="13" customFormat="false" ht="14.5" hidden="true" customHeight="false" outlineLevel="0" collapsed="false">
      <c r="A13" s="16" t="n">
        <v>5</v>
      </c>
      <c r="B13" s="1" t="s">
        <v>74</v>
      </c>
      <c r="C13" s="1" t="s">
        <v>75</v>
      </c>
      <c r="D13" s="1" t="str">
        <f aca="false">IF(OR(LEFT(C13, 2)="SE", LEFT(C13, 2)="S4"), "C6", IF(LEFT(C13, 2)="S1", "C1", IF(OR(LEFT(C13, 2)="S2", LEFT(C13, 2)="S5"), "C3&amp;5", IF(LEFT(C13, 2)="S3", "C4", IF(LEFT(C13, 2)="SC", "C7", IF(LEFT(C13, 2)="S6", "C2", "Other"))))))</f>
        <v>C3&amp;5</v>
      </c>
      <c r="E13" s="1" t="n">
        <v>1</v>
      </c>
      <c r="F13" s="1" t="s">
        <v>76</v>
      </c>
      <c r="G13" s="12" t="s">
        <v>77</v>
      </c>
      <c r="H13" s="1" t="s">
        <v>78</v>
      </c>
      <c r="I13" s="1" t="s">
        <v>79</v>
      </c>
      <c r="J13" s="1"/>
    </row>
    <row r="14" customFormat="false" ht="14.5" hidden="true" customHeight="false" outlineLevel="0" collapsed="false">
      <c r="A14" s="11" t="n">
        <v>5</v>
      </c>
      <c r="B14" s="5" t="s">
        <v>80</v>
      </c>
      <c r="C14" s="5" t="s">
        <v>81</v>
      </c>
      <c r="D14" s="5" t="str">
        <f aca="false">IF(OR(LEFT(C14, 2)="SE", LEFT(C14, 2)="S4"), "C6", IF(LEFT(C14, 2)="S1", "C1", IF(OR(LEFT(C14, 2)="S2", LEFT(C14, 2)="S5"), "C3&amp;5", IF(LEFT(C14, 2)="S3", "C4", IF(LEFT(C14, 2)="SC", "C7", IF(LEFT(C14, 2)="S6", "C2", "Other"))))))</f>
        <v>C3&amp;5</v>
      </c>
      <c r="E14" s="5" t="n">
        <v>2</v>
      </c>
      <c r="F14" s="5" t="s">
        <v>82</v>
      </c>
      <c r="G14" s="12" t="s">
        <v>34</v>
      </c>
      <c r="H14" s="5" t="s">
        <v>83</v>
      </c>
      <c r="I14" s="5" t="s">
        <v>84</v>
      </c>
      <c r="J14" s="5"/>
    </row>
    <row r="15" customFormat="false" ht="14.5" hidden="true" customHeight="false" outlineLevel="0" collapsed="false">
      <c r="A15" s="13" t="n">
        <v>5</v>
      </c>
      <c r="B15" s="1" t="s">
        <v>85</v>
      </c>
      <c r="C15" s="1" t="s">
        <v>48</v>
      </c>
      <c r="D15" s="1" t="str">
        <f aca="false">IF(OR(LEFT(C15, 2)="SE", LEFT(C15, 2)="S4"), "C6", IF(LEFT(C15, 2)="S1", "C1", IF(OR(LEFT(C15, 2)="S2", LEFT(C15, 2)="S5"), "C3&amp;5", IF(LEFT(C15, 2)="S3", "C4", IF(LEFT(C15, 2)="SC", "C7", IF(LEFT(C15, 2)="S6", "C2", "Other"))))))</f>
        <v>C2</v>
      </c>
      <c r="E15" s="1" t="n">
        <v>1</v>
      </c>
      <c r="F15" s="1" t="s">
        <v>82</v>
      </c>
      <c r="G15" s="12" t="s">
        <v>34</v>
      </c>
      <c r="H15" s="1" t="s">
        <v>86</v>
      </c>
      <c r="I15" s="1" t="s">
        <v>87</v>
      </c>
      <c r="J15" s="1"/>
    </row>
    <row r="16" customFormat="false" ht="14.5" hidden="true" customHeight="false" outlineLevel="0" collapsed="false">
      <c r="A16" s="11" t="n">
        <v>5</v>
      </c>
      <c r="B16" s="5" t="s">
        <v>88</v>
      </c>
      <c r="C16" s="5" t="s">
        <v>81</v>
      </c>
      <c r="D16" s="5" t="str">
        <f aca="false">IF(OR(LEFT(C16, 2)="SE", LEFT(C16, 2)="S4"), "C6", IF(LEFT(C16, 2)="S1", "C1", IF(OR(LEFT(C16, 2)="S2", LEFT(C16, 2)="S5"), "C3&amp;5", IF(LEFT(C16, 2)="S3", "C4", IF(LEFT(C16, 2)="SC", "C7", IF(LEFT(C16, 2)="S6", "C2", "Other"))))))</f>
        <v>C3&amp;5</v>
      </c>
      <c r="E16" s="5" t="n">
        <v>1</v>
      </c>
      <c r="F16" s="5" t="s">
        <v>82</v>
      </c>
      <c r="G16" s="12" t="s">
        <v>34</v>
      </c>
      <c r="H16" s="5" t="s">
        <v>89</v>
      </c>
      <c r="I16" s="5" t="s">
        <v>90</v>
      </c>
      <c r="J16" s="5"/>
    </row>
    <row r="17" customFormat="false" ht="14.5" hidden="true" customHeight="false" outlineLevel="0" collapsed="false">
      <c r="A17" s="16" t="n">
        <v>5</v>
      </c>
      <c r="B17" s="1" t="s">
        <v>91</v>
      </c>
      <c r="C17" s="1" t="s">
        <v>75</v>
      </c>
      <c r="D17" s="1" t="str">
        <f aca="false">IF(OR(LEFT(C17, 2)="SE", LEFT(C17, 2)="S4"), "C6", IF(LEFT(C17, 2)="S1", "C1", IF(OR(LEFT(C17, 2)="S2", LEFT(C17, 2)="S5"), "C3&amp;5", IF(LEFT(C17, 2)="S3", "C4", IF(LEFT(C17, 2)="SC", "C7", IF(LEFT(C17, 2)="S6", "C2", "Other"))))))</f>
        <v>C3&amp;5</v>
      </c>
      <c r="E17" s="1" t="n">
        <v>1</v>
      </c>
      <c r="F17" s="1" t="s">
        <v>92</v>
      </c>
      <c r="G17" s="12" t="s">
        <v>77</v>
      </c>
      <c r="H17" s="1" t="s">
        <v>93</v>
      </c>
      <c r="I17" s="1" t="s">
        <v>94</v>
      </c>
      <c r="J17" s="1"/>
    </row>
    <row r="18" customFormat="false" ht="14.5" hidden="true" customHeight="false" outlineLevel="0" collapsed="false">
      <c r="A18" s="11" t="n">
        <v>5</v>
      </c>
      <c r="B18" s="5" t="s">
        <v>95</v>
      </c>
      <c r="C18" s="5" t="s">
        <v>96</v>
      </c>
      <c r="D18" s="5" t="str">
        <f aca="false">IF(OR(LEFT(C18, 2)="SE", LEFT(C18, 2)="S4"), "C6", IF(LEFT(C18, 2)="S1", "C1", IF(OR(LEFT(C18, 2)="S2", LEFT(C18, 2)="S5"), "C3&amp;5", IF(LEFT(C18, 2)="S3", "C4", IF(LEFT(C18, 2)="SC", "C7", IF(LEFT(C18, 2)="S6", "C2", "Other"))))))</f>
        <v>C2</v>
      </c>
      <c r="E18" s="5" t="n">
        <v>4</v>
      </c>
      <c r="F18" s="5" t="s">
        <v>76</v>
      </c>
      <c r="G18" s="12" t="s">
        <v>77</v>
      </c>
      <c r="H18" s="5" t="s">
        <v>97</v>
      </c>
      <c r="I18" s="5" t="s">
        <v>98</v>
      </c>
      <c r="J18" s="5"/>
    </row>
    <row r="19" customFormat="false" ht="14.5" hidden="false" customHeight="false" outlineLevel="0" collapsed="false">
      <c r="A19" s="13" t="n">
        <v>5</v>
      </c>
      <c r="B19" s="1" t="s">
        <v>99</v>
      </c>
      <c r="C19" s="1" t="s">
        <v>1</v>
      </c>
      <c r="D19" s="1" t="str">
        <f aca="false">IF(OR(LEFT(C19, 2)="SE", LEFT(C19, 2)="S4"), "C6", IF(LEFT(C19, 2)="S1", "C1", IF(OR(LEFT(C19, 2)="S2", LEFT(C19, 2)="S5"), "C3&amp;5", IF(LEFT(C19, 2)="S3", "C4", IF(LEFT(C19, 2)="SC", "C7", IF(LEFT(C19, 2)="S6", "C2", "Other"))))))</f>
        <v>C7</v>
      </c>
      <c r="E19" s="1" t="n">
        <v>2</v>
      </c>
      <c r="F19" s="1" t="s">
        <v>59</v>
      </c>
      <c r="G19" s="12" t="s">
        <v>34</v>
      </c>
      <c r="H19" s="1" t="s">
        <v>100</v>
      </c>
      <c r="I19" s="1" t="s">
        <v>101</v>
      </c>
      <c r="J19" s="1"/>
    </row>
    <row r="20" customFormat="false" ht="14.5" hidden="true" customHeight="false" outlineLevel="0" collapsed="false">
      <c r="A20" s="17" t="n">
        <v>5</v>
      </c>
      <c r="B20" s="18" t="s">
        <v>102</v>
      </c>
      <c r="C20" s="18" t="s">
        <v>103</v>
      </c>
      <c r="D20" s="18" t="str">
        <f aca="false">IF(OR(LEFT(C20, 2)="SE", LEFT(C20, 2)="S4"), "C6", IF(LEFT(C20, 2)="S1", "C1", IF(OR(LEFT(C20, 2)="S2", LEFT(C20, 2)="S5"), "C3&amp;5", IF(LEFT(C20, 2)="S3", "C4", IF(LEFT(C20, 2)="SC", "C7", IF(LEFT(C20, 2)="S6", "C2", "Other"))))))</f>
        <v>C6</v>
      </c>
      <c r="E20" s="18" t="n">
        <v>1</v>
      </c>
      <c r="F20" s="18" t="s">
        <v>104</v>
      </c>
      <c r="G20" s="12" t="s">
        <v>34</v>
      </c>
      <c r="H20" s="18" t="s">
        <v>105</v>
      </c>
      <c r="I20" s="18" t="s">
        <v>106</v>
      </c>
      <c r="J20" s="5"/>
    </row>
    <row r="21" customFormat="false" ht="14.5" hidden="false" customHeight="false" outlineLevel="0" collapsed="false">
      <c r="A21" s="13" t="n">
        <v>5</v>
      </c>
      <c r="B21" s="1" t="s">
        <v>107</v>
      </c>
      <c r="C21" s="1" t="s">
        <v>1</v>
      </c>
      <c r="D21" s="1" t="str">
        <f aca="false">IF(OR(LEFT(C21, 2)="SE", LEFT(C21, 2)="S4"), "C6", IF(LEFT(C21, 2)="S1", "C1", IF(OR(LEFT(C21, 2)="S2", LEFT(C21, 2)="S5"), "C3&amp;5", IF(LEFT(C21, 2)="S3", "C4", IF(LEFT(C21, 2)="SC", "C7", IF(LEFT(C21, 2)="S6", "C2", "Other"))))))</f>
        <v>C7</v>
      </c>
      <c r="E21" s="1" t="n">
        <v>1</v>
      </c>
      <c r="F21" s="1" t="s">
        <v>104</v>
      </c>
      <c r="G21" s="12" t="s">
        <v>34</v>
      </c>
      <c r="H21" s="1" t="s">
        <v>108</v>
      </c>
      <c r="I21" s="1" t="s">
        <v>109</v>
      </c>
      <c r="J21" s="1"/>
    </row>
    <row r="22" customFormat="false" ht="14.5" hidden="true" customHeight="false" outlineLevel="0" collapsed="false">
      <c r="A22" s="19" t="n">
        <v>5</v>
      </c>
      <c r="B22" s="18" t="s">
        <v>110</v>
      </c>
      <c r="C22" s="18" t="s">
        <v>75</v>
      </c>
      <c r="D22" s="18" t="str">
        <f aca="false">IF(OR(LEFT(C22, 2)="SE", LEFT(C22, 2)="S4"), "C6", IF(LEFT(C22, 2)="S1", "C1", IF(OR(LEFT(C22, 2)="S2", LEFT(C22, 2)="S5"), "C3&amp;5", IF(LEFT(C22, 2)="S3", "C4", IF(LEFT(C22, 2)="SC", "C7", IF(LEFT(C22, 2)="S6", "C2", "Other"))))))</f>
        <v>C3&amp;5</v>
      </c>
      <c r="E22" s="18" t="n">
        <v>1</v>
      </c>
      <c r="F22" s="18" t="s">
        <v>111</v>
      </c>
      <c r="G22" s="12" t="s">
        <v>34</v>
      </c>
      <c r="H22" s="18" t="s">
        <v>112</v>
      </c>
      <c r="I22" s="5" t="s">
        <v>113</v>
      </c>
      <c r="J22" s="5"/>
    </row>
    <row r="23" customFormat="false" ht="14.5" hidden="true" customHeight="false" outlineLevel="0" collapsed="false">
      <c r="A23" s="16" t="n">
        <v>5</v>
      </c>
      <c r="B23" s="1" t="s">
        <v>114</v>
      </c>
      <c r="C23" s="1" t="s">
        <v>75</v>
      </c>
      <c r="D23" s="1" t="str">
        <f aca="false">IF(OR(LEFT(C23, 2)="SE", LEFT(C23, 2)="S4"), "C6", IF(LEFT(C23, 2)="S1", "C1", IF(OR(LEFT(C23, 2)="S2", LEFT(C23, 2)="S5"), "C3&amp;5", IF(LEFT(C23, 2)="S3", "C4", IF(LEFT(C23, 2)="SC", "C7", IF(LEFT(C23, 2)="S6", "C2", "Other"))))))</f>
        <v>C3&amp;5</v>
      </c>
      <c r="E23" s="1" t="n">
        <v>1</v>
      </c>
      <c r="F23" s="1" t="s">
        <v>76</v>
      </c>
      <c r="G23" s="12" t="s">
        <v>77</v>
      </c>
      <c r="H23" s="1" t="s">
        <v>115</v>
      </c>
      <c r="I23" s="1" t="s">
        <v>116</v>
      </c>
      <c r="J23" s="1"/>
    </row>
    <row r="24" customFormat="false" ht="14.5" hidden="true" customHeight="false" outlineLevel="0" collapsed="false">
      <c r="A24" s="17" t="n">
        <v>8</v>
      </c>
      <c r="B24" s="18" t="s">
        <v>37</v>
      </c>
      <c r="C24" s="18" t="s">
        <v>48</v>
      </c>
      <c r="D24" s="18" t="str">
        <f aca="false">IF(OR(LEFT(C24, 2)="SE", LEFT(C24, 2)="S4"), "C6", IF(LEFT(C24, 2)="S1", "C1", IF(OR(LEFT(C24, 2)="S2", LEFT(C24, 2)="S5"), "C3&amp;5", IF(LEFT(C24, 2)="S3", "C4", IF(LEFT(C24, 2)="SC", "C7", IF(LEFT(C24, 2)="S6", "C2", "Other"))))))</f>
        <v>C2</v>
      </c>
      <c r="E24" s="18" t="n">
        <v>2</v>
      </c>
      <c r="F24" s="18" t="s">
        <v>117</v>
      </c>
      <c r="G24" s="12" t="s">
        <v>34</v>
      </c>
      <c r="H24" s="18" t="s">
        <v>118</v>
      </c>
      <c r="I24" s="5" t="s">
        <v>119</v>
      </c>
      <c r="J24" s="5"/>
    </row>
    <row r="25" customFormat="false" ht="14.5" hidden="true" customHeight="false" outlineLevel="0" collapsed="false">
      <c r="A25" s="13" t="n">
        <v>8</v>
      </c>
      <c r="B25" s="1" t="s">
        <v>42</v>
      </c>
      <c r="C25" s="1" t="s">
        <v>103</v>
      </c>
      <c r="D25" s="1" t="str">
        <f aca="false">IF(OR(LEFT(C25, 2)="SE", LEFT(C25, 2)="S4"), "C6", IF(LEFT(C25, 2)="S1", "C1", IF(OR(LEFT(C25, 2)="S2", LEFT(C25, 2)="S5"), "C3&amp;5", IF(LEFT(C25, 2)="S3", "C4", IF(LEFT(C25, 2)="SC", "C7", IF(LEFT(C25, 2)="S6", "C2", "Other"))))))</f>
        <v>C6</v>
      </c>
      <c r="E25" s="1" t="n">
        <v>2</v>
      </c>
      <c r="F25" s="1" t="s">
        <v>120</v>
      </c>
      <c r="G25" s="12" t="s">
        <v>34</v>
      </c>
      <c r="H25" s="1" t="s">
        <v>121</v>
      </c>
      <c r="I25" s="1" t="s">
        <v>122</v>
      </c>
      <c r="J25" s="1"/>
    </row>
    <row r="26" customFormat="false" ht="14.5" hidden="true" customHeight="false" outlineLevel="0" collapsed="false">
      <c r="A26" s="11" t="n">
        <v>10</v>
      </c>
      <c r="B26" s="5" t="s">
        <v>123</v>
      </c>
      <c r="C26" s="5" t="s">
        <v>103</v>
      </c>
      <c r="D26" s="5" t="str">
        <f aca="false">IF(OR(LEFT(C26, 2)="SE", LEFT(C26, 2)="S4"), "C6", IF(LEFT(C26, 2)="S1", "C1", IF(OR(LEFT(C26, 2)="S2", LEFT(C26, 2)="S5"), "C3&amp;5", IF(LEFT(C26, 2)="S3", "C4", IF(LEFT(C26, 2)="SC", "C7", IF(LEFT(C26, 2)="S6", "C2", "Other"))))))</f>
        <v>C6</v>
      </c>
      <c r="E26" s="5" t="n">
        <v>2</v>
      </c>
      <c r="F26" s="5" t="s">
        <v>124</v>
      </c>
      <c r="G26" s="12" t="s">
        <v>125</v>
      </c>
      <c r="H26" s="5" t="s">
        <v>126</v>
      </c>
      <c r="I26" s="5" t="s">
        <v>127</v>
      </c>
      <c r="J26" s="5"/>
    </row>
    <row r="27" customFormat="false" ht="14.5" hidden="true" customHeight="false" outlineLevel="0" collapsed="false">
      <c r="A27" s="16" t="n">
        <v>10</v>
      </c>
      <c r="B27" s="1" t="s">
        <v>31</v>
      </c>
      <c r="C27" s="1" t="s">
        <v>56</v>
      </c>
      <c r="D27" s="1" t="str">
        <f aca="false">IF(OR(LEFT(C27, 2)="SE", LEFT(C27, 2)="S4"), "C6", IF(LEFT(C27, 2)="S1", "C1", IF(OR(LEFT(C27, 2)="S2", LEFT(C27, 2)="S5"), "C3&amp;5", IF(LEFT(C27, 2)="S3", "C4", IF(LEFT(C27, 2)="SC", "C7", IF(LEFT(C27, 2)="S6", "C2", "Other"))))))</f>
        <v>C4</v>
      </c>
      <c r="E27" s="1" t="n">
        <v>2</v>
      </c>
      <c r="F27" s="1" t="s">
        <v>124</v>
      </c>
      <c r="G27" s="12" t="s">
        <v>125</v>
      </c>
      <c r="H27" s="1" t="s">
        <v>128</v>
      </c>
      <c r="I27" s="1" t="s">
        <v>129</v>
      </c>
      <c r="J27" s="1"/>
    </row>
    <row r="28" customFormat="false" ht="14.5" hidden="true" customHeight="false" outlineLevel="0" collapsed="false">
      <c r="A28" s="20" t="n">
        <v>10</v>
      </c>
      <c r="B28" s="5" t="s">
        <v>37</v>
      </c>
      <c r="C28" s="5" t="s">
        <v>56</v>
      </c>
      <c r="D28" s="5" t="str">
        <f aca="false">IF(OR(LEFT(C28, 2)="SE", LEFT(C28, 2)="S4"), "C6", IF(LEFT(C28, 2)="S1", "C1", IF(OR(LEFT(C28, 2)="S2", LEFT(C28, 2)="S5"), "C3&amp;5", IF(LEFT(C28, 2)="S3", "C4", IF(LEFT(C28, 2)="SC", "C7", IF(LEFT(C28, 2)="S6", "C2", "Other"))))))</f>
        <v>C4</v>
      </c>
      <c r="E28" s="5" t="n">
        <v>3</v>
      </c>
      <c r="F28" s="5" t="s">
        <v>124</v>
      </c>
      <c r="G28" s="12" t="s">
        <v>125</v>
      </c>
      <c r="H28" s="5" t="s">
        <v>130</v>
      </c>
      <c r="I28" s="5" t="s">
        <v>131</v>
      </c>
      <c r="J28" s="5"/>
    </row>
    <row r="29" customFormat="false" ht="14.5" hidden="true" customHeight="false" outlineLevel="0" collapsed="false">
      <c r="A29" s="13" t="n">
        <v>12</v>
      </c>
      <c r="B29" s="1" t="s">
        <v>123</v>
      </c>
      <c r="C29" s="1" t="s">
        <v>32</v>
      </c>
      <c r="D29" s="1" t="str">
        <f aca="false">IF(OR(LEFT(C29, 2)="SE", LEFT(C29, 2)="S4"), "C6", IF(LEFT(C29, 2)="S1", "C1", IF(OR(LEFT(C29, 2)="S2", LEFT(C29, 2)="S5"), "C3&amp;5", IF(LEFT(C29, 2)="S3", "C4", IF(LEFT(C29, 2)="SC", "C7", IF(LEFT(C29, 2)="S6", "C2", "Other"))))))</f>
        <v>C6</v>
      </c>
      <c r="E29" s="1" t="n">
        <v>2</v>
      </c>
      <c r="F29" s="1" t="s">
        <v>132</v>
      </c>
      <c r="G29" s="12" t="s">
        <v>125</v>
      </c>
      <c r="H29" s="1" t="s">
        <v>133</v>
      </c>
      <c r="I29" s="1" t="s">
        <v>134</v>
      </c>
      <c r="J29" s="1"/>
    </row>
    <row r="30" customFormat="false" ht="14.5" hidden="true" customHeight="false" outlineLevel="0" collapsed="false">
      <c r="A30" s="11" t="n">
        <v>12</v>
      </c>
      <c r="B30" s="5" t="s">
        <v>37</v>
      </c>
      <c r="C30" s="5" t="s">
        <v>48</v>
      </c>
      <c r="D30" s="5" t="str">
        <f aca="false">IF(OR(LEFT(C30, 2)="SE", LEFT(C30, 2)="S4"), "C6", IF(LEFT(C30, 2)="S1", "C1", IF(OR(LEFT(C30, 2)="S2", LEFT(C30, 2)="S5"), "C3&amp;5", IF(LEFT(C30, 2)="S3", "C4", IF(LEFT(C30, 2)="SC", "C7", IF(LEFT(C30, 2)="S6", "C2", "Other"))))))</f>
        <v>C2</v>
      </c>
      <c r="E30" s="5" t="n">
        <v>1</v>
      </c>
      <c r="F30" s="5" t="s">
        <v>135</v>
      </c>
      <c r="G30" s="12" t="s">
        <v>77</v>
      </c>
      <c r="H30" s="5" t="s">
        <v>136</v>
      </c>
      <c r="I30" s="5" t="s">
        <v>137</v>
      </c>
      <c r="J30" s="5"/>
    </row>
    <row r="31" customFormat="false" ht="14.5" hidden="true" customHeight="false" outlineLevel="0" collapsed="false">
      <c r="A31" s="13" t="n">
        <v>13</v>
      </c>
      <c r="B31" s="1" t="s">
        <v>31</v>
      </c>
      <c r="C31" s="1" t="s">
        <v>32</v>
      </c>
      <c r="D31" s="1" t="str">
        <f aca="false">IF(OR(LEFT(C31, 2)="SE", LEFT(C31, 2)="S4"), "C6", IF(LEFT(C31, 2)="S1", "C1", IF(OR(LEFT(C31, 2)="S2", LEFT(C31, 2)="S5"), "C3&amp;5", IF(LEFT(C31, 2)="S3", "C4", IF(LEFT(C31, 2)="SC", "C7", IF(LEFT(C31, 2)="S6", "C2", "Other"))))))</f>
        <v>C6</v>
      </c>
      <c r="E31" s="1" t="n">
        <v>1</v>
      </c>
      <c r="F31" s="1" t="s">
        <v>138</v>
      </c>
      <c r="G31" s="12" t="s">
        <v>77</v>
      </c>
      <c r="H31" s="1" t="s">
        <v>139</v>
      </c>
      <c r="I31" s="1" t="s">
        <v>140</v>
      </c>
      <c r="J31" s="1"/>
    </row>
    <row r="32" customFormat="false" ht="14.5" hidden="true" customHeight="false" outlineLevel="0" collapsed="false">
      <c r="A32" s="20" t="n">
        <v>13</v>
      </c>
      <c r="B32" s="5" t="s">
        <v>37</v>
      </c>
      <c r="C32" s="5" t="s">
        <v>75</v>
      </c>
      <c r="D32" s="5" t="str">
        <f aca="false">IF(OR(LEFT(C32, 2)="SE", LEFT(C32, 2)="S4"), "C6", IF(LEFT(C32, 2)="S1", "C1", IF(OR(LEFT(C32, 2)="S2", LEFT(C32, 2)="S5"), "C3&amp;5", IF(LEFT(C32, 2)="S3", "C4", IF(LEFT(C32, 2)="SC", "C7", IF(LEFT(C32, 2)="S6", "C2", "Other"))))))</f>
        <v>C3&amp;5</v>
      </c>
      <c r="E32" s="5" t="n">
        <v>4</v>
      </c>
      <c r="F32" s="5" t="s">
        <v>141</v>
      </c>
      <c r="G32" s="12" t="s">
        <v>77</v>
      </c>
      <c r="H32" s="5" t="s">
        <v>142</v>
      </c>
      <c r="I32" s="5" t="s">
        <v>143</v>
      </c>
      <c r="J32" s="5"/>
    </row>
    <row r="33" customFormat="false" ht="14.5" hidden="true" customHeight="false" outlineLevel="0" collapsed="false">
      <c r="A33" s="16" t="n">
        <v>13</v>
      </c>
      <c r="B33" s="1" t="s">
        <v>42</v>
      </c>
      <c r="C33" s="1" t="s">
        <v>144</v>
      </c>
      <c r="D33" s="1" t="str">
        <f aca="false">IF(OR(LEFT(C33, 2)="SE", LEFT(C33, 2)="S4"), "C6", IF(LEFT(C33, 2)="S1", "C1", IF(OR(LEFT(C33, 2)="S2", LEFT(C33, 2)="S5"), "C3&amp;5", IF(LEFT(C33, 2)="S3", "C4", IF(LEFT(C33, 2)="SC", "C7", IF(LEFT(C33, 2)="S6", "C2", "Other"))))))</f>
        <v>C3&amp;5</v>
      </c>
      <c r="E33" s="1" t="n">
        <v>1</v>
      </c>
      <c r="F33" s="1" t="s">
        <v>145</v>
      </c>
      <c r="G33" s="12" t="s">
        <v>125</v>
      </c>
      <c r="H33" s="1" t="s">
        <v>146</v>
      </c>
      <c r="I33" s="1" t="s">
        <v>147</v>
      </c>
      <c r="J33" s="1"/>
    </row>
    <row r="34" customFormat="false" ht="14.5" hidden="true" customHeight="false" outlineLevel="0" collapsed="false">
      <c r="A34" s="11" t="n">
        <v>14</v>
      </c>
      <c r="B34" s="5" t="s">
        <v>123</v>
      </c>
      <c r="C34" s="5" t="s">
        <v>96</v>
      </c>
      <c r="D34" s="5" t="str">
        <f aca="false">IF(OR(LEFT(C34, 2)="SE", LEFT(C34, 2)="S4"), "C6", IF(LEFT(C34, 2)="S1", "C1", IF(OR(LEFT(C34, 2)="S2", LEFT(C34, 2)="S5"), "C3&amp;5", IF(LEFT(C34, 2)="S3", "C4", IF(LEFT(C34, 2)="SC", "C7", IF(LEFT(C34, 2)="S6", "C2", "Other"))))))</f>
        <v>C2</v>
      </c>
      <c r="E34" s="5" t="n">
        <v>1</v>
      </c>
      <c r="F34" s="5" t="s">
        <v>148</v>
      </c>
      <c r="G34" s="12" t="s">
        <v>34</v>
      </c>
      <c r="H34" s="5" t="s">
        <v>149</v>
      </c>
      <c r="I34" s="5" t="s">
        <v>150</v>
      </c>
      <c r="J34" s="5"/>
    </row>
    <row r="35" customFormat="false" ht="14.5" hidden="true" customHeight="false" outlineLevel="0" collapsed="false">
      <c r="A35" s="13" t="n">
        <v>14</v>
      </c>
      <c r="B35" s="1" t="s">
        <v>37</v>
      </c>
      <c r="C35" s="1" t="s">
        <v>96</v>
      </c>
      <c r="D35" s="1" t="str">
        <f aca="false">IF(OR(LEFT(C35, 2)="SE", LEFT(C35, 2)="S4"), "C6", IF(LEFT(C35, 2)="S1", "C1", IF(OR(LEFT(C35, 2)="S2", LEFT(C35, 2)="S5"), "C3&amp;5", IF(LEFT(C35, 2)="S3", "C4", IF(LEFT(C35, 2)="SC", "C7", IF(LEFT(C35, 2)="S6", "C2", "Other"))))))</f>
        <v>C2</v>
      </c>
      <c r="E35" s="1" t="n">
        <v>1</v>
      </c>
      <c r="F35" s="1" t="s">
        <v>151</v>
      </c>
      <c r="G35" s="12" t="s">
        <v>34</v>
      </c>
      <c r="H35" s="1" t="s">
        <v>152</v>
      </c>
      <c r="I35" s="1" t="s">
        <v>153</v>
      </c>
      <c r="J35" s="1"/>
    </row>
    <row r="36" customFormat="false" ht="14.5" hidden="true" customHeight="false" outlineLevel="0" collapsed="false">
      <c r="A36" s="20" t="n">
        <v>14</v>
      </c>
      <c r="B36" s="5" t="s">
        <v>42</v>
      </c>
      <c r="C36" s="5" t="s">
        <v>154</v>
      </c>
      <c r="D36" s="5" t="str">
        <f aca="false">IF(OR(LEFT(C36, 2)="SE", LEFT(C36, 2)="S4"), "C6", IF(LEFT(C36, 2)="S1", "C1", IF(OR(LEFT(C36, 2)="S2", LEFT(C36, 2)="S5"), "C3&amp;5", IF(LEFT(C36, 2)="S3", "C4", IF(LEFT(C36, 2)="SC", "C7", IF(LEFT(C36, 2)="S6", "C2", "Other"))))))</f>
        <v>C4</v>
      </c>
      <c r="E36" s="5" t="n">
        <v>1</v>
      </c>
      <c r="F36" s="5" t="s">
        <v>155</v>
      </c>
      <c r="G36" s="12" t="s">
        <v>77</v>
      </c>
      <c r="H36" s="5" t="s">
        <v>156</v>
      </c>
      <c r="I36" s="5" t="s">
        <v>157</v>
      </c>
      <c r="J36" s="5"/>
    </row>
    <row r="37" customFormat="false" ht="14.5" hidden="true" customHeight="false" outlineLevel="0" collapsed="false">
      <c r="A37" s="13" t="n">
        <v>16</v>
      </c>
      <c r="B37" s="1" t="s">
        <v>123</v>
      </c>
      <c r="C37" s="1" t="s">
        <v>158</v>
      </c>
      <c r="D37" s="1" t="str">
        <f aca="false">IF(OR(LEFT(C37, 2)="SE", LEFT(C37, 2)="S4"), "C6", IF(LEFT(C37, 2)="S1", "C1", IF(OR(LEFT(C37, 2)="S2", LEFT(C37, 2)="S5"), "C3&amp;5", IF(LEFT(C37, 2)="S3", "C4", IF(LEFT(C37, 2)="SC", "C7", IF(LEFT(C37, 2)="S6", "C2", "Other"))))))</f>
        <v>C1</v>
      </c>
      <c r="E37" s="1" t="n">
        <v>2</v>
      </c>
      <c r="F37" s="1" t="s">
        <v>159</v>
      </c>
      <c r="G37" s="12" t="s">
        <v>34</v>
      </c>
      <c r="H37" s="1" t="s">
        <v>160</v>
      </c>
      <c r="I37" s="1" t="s">
        <v>161</v>
      </c>
      <c r="J37" s="1"/>
    </row>
    <row r="38" customFormat="false" ht="14.5" hidden="true" customHeight="false" outlineLevel="0" collapsed="false">
      <c r="A38" s="11" t="n">
        <v>16</v>
      </c>
      <c r="B38" s="5" t="s">
        <v>31</v>
      </c>
      <c r="C38" s="5" t="s">
        <v>96</v>
      </c>
      <c r="D38" s="5" t="str">
        <f aca="false">IF(OR(LEFT(C38, 2)="SE", LEFT(C38, 2)="S4"), "C6", IF(LEFT(C38, 2)="S1", "C1", IF(OR(LEFT(C38, 2)="S2", LEFT(C38, 2)="S5"), "C3&amp;5", IF(LEFT(C38, 2)="S3", "C4", IF(LEFT(C38, 2)="SC", "C7", IF(LEFT(C38, 2)="S6", "C2", "Other"))))))</f>
        <v>C2</v>
      </c>
      <c r="E38" s="5" t="n">
        <v>1</v>
      </c>
      <c r="F38" s="5" t="s">
        <v>159</v>
      </c>
      <c r="G38" s="12" t="s">
        <v>34</v>
      </c>
      <c r="H38" s="5" t="s">
        <v>162</v>
      </c>
      <c r="I38" s="5" t="s">
        <v>163</v>
      </c>
      <c r="J38" s="5"/>
    </row>
    <row r="39" customFormat="false" ht="14.5" hidden="true" customHeight="false" outlineLevel="0" collapsed="false">
      <c r="A39" s="13" t="n">
        <v>16</v>
      </c>
      <c r="B39" s="1" t="s">
        <v>42</v>
      </c>
      <c r="C39" s="1" t="s">
        <v>48</v>
      </c>
      <c r="D39" s="1" t="str">
        <f aca="false">IF(OR(LEFT(C39, 2)="SE", LEFT(C39, 2)="S4"), "C6", IF(LEFT(C39, 2)="S1", "C1", IF(OR(LEFT(C39, 2)="S2", LEFT(C39, 2)="S5"), "C3&amp;5", IF(LEFT(C39, 2)="S3", "C4", IF(LEFT(C39, 2)="SC", "C7", IF(LEFT(C39, 2)="S6", "C2", "Other"))))))</f>
        <v>C2</v>
      </c>
      <c r="E39" s="1" t="n">
        <v>1</v>
      </c>
      <c r="F39" s="1" t="s">
        <v>164</v>
      </c>
      <c r="G39" s="12" t="s">
        <v>125</v>
      </c>
      <c r="H39" s="1" t="s">
        <v>165</v>
      </c>
      <c r="I39" s="1" t="s">
        <v>166</v>
      </c>
      <c r="J39" s="1"/>
    </row>
    <row r="40" customFormat="false" ht="14.5" hidden="true" customHeight="false" outlineLevel="0" collapsed="false">
      <c r="A40" s="11" t="n">
        <v>16</v>
      </c>
      <c r="B40" s="5" t="s">
        <v>47</v>
      </c>
      <c r="C40" s="5" t="s">
        <v>32</v>
      </c>
      <c r="D40" s="5" t="str">
        <f aca="false">IF(OR(LEFT(C40, 2)="SE", LEFT(C40, 2)="S4"), "C6", IF(LEFT(C40, 2)="S1", "C1", IF(OR(LEFT(C40, 2)="S2", LEFT(C40, 2)="S5"), "C3&amp;5", IF(LEFT(C40, 2)="S3", "C4", IF(LEFT(C40, 2)="SC", "C7", IF(LEFT(C40, 2)="S6", "C2", "Other"))))))</f>
        <v>C6</v>
      </c>
      <c r="E40" s="5" t="n">
        <v>1</v>
      </c>
      <c r="F40" s="5" t="s">
        <v>167</v>
      </c>
      <c r="G40" s="12" t="s">
        <v>125</v>
      </c>
      <c r="H40" s="5" t="s">
        <v>168</v>
      </c>
      <c r="I40" s="5" t="s">
        <v>169</v>
      </c>
      <c r="J40" s="5"/>
    </row>
    <row r="41" customFormat="false" ht="14.5" hidden="true" customHeight="false" outlineLevel="0" collapsed="false">
      <c r="A41" s="13" t="n">
        <v>16</v>
      </c>
      <c r="B41" s="1" t="s">
        <v>51</v>
      </c>
      <c r="C41" s="1" t="s">
        <v>48</v>
      </c>
      <c r="D41" s="1" t="str">
        <f aca="false">IF(OR(LEFT(C41, 2)="SE", LEFT(C41, 2)="S4"), "C6", IF(LEFT(C41, 2)="S1", "C1", IF(OR(LEFT(C41, 2)="S2", LEFT(C41, 2)="S5"), "C3&amp;5", IF(LEFT(C41, 2)="S3", "C4", IF(LEFT(C41, 2)="SC", "C7", IF(LEFT(C41, 2)="S6", "C2", "Other"))))))</f>
        <v>C2</v>
      </c>
      <c r="E41" s="1" t="n">
        <v>1</v>
      </c>
      <c r="F41" s="1" t="s">
        <v>170</v>
      </c>
      <c r="G41" s="12" t="s">
        <v>34</v>
      </c>
      <c r="H41" s="1" t="s">
        <v>171</v>
      </c>
      <c r="I41" s="1" t="s">
        <v>172</v>
      </c>
      <c r="J41" s="1"/>
    </row>
    <row r="42" customFormat="false" ht="14.5" hidden="true" customHeight="false" outlineLevel="0" collapsed="false">
      <c r="A42" s="11" t="n">
        <v>17</v>
      </c>
      <c r="B42" s="5" t="s">
        <v>31</v>
      </c>
      <c r="C42" s="5" t="s">
        <v>48</v>
      </c>
      <c r="D42" s="5" t="str">
        <f aca="false">IF(OR(LEFT(C42, 2)="SE", LEFT(C42, 2)="S4"), "C6", IF(LEFT(C42, 2)="S1", "C1", IF(OR(LEFT(C42, 2)="S2", LEFT(C42, 2)="S5"), "C3&amp;5", IF(LEFT(C42, 2)="S3", "C4", IF(LEFT(C42, 2)="SC", "C7", IF(LEFT(C42, 2)="S6", "C2", "Other"))))))</f>
        <v>C2</v>
      </c>
      <c r="E42" s="5" t="n">
        <v>2</v>
      </c>
      <c r="F42" s="5" t="s">
        <v>173</v>
      </c>
      <c r="G42" s="12" t="s">
        <v>34</v>
      </c>
      <c r="H42" s="5" t="s">
        <v>174</v>
      </c>
      <c r="I42" s="5" t="s">
        <v>175</v>
      </c>
      <c r="J42" s="5"/>
    </row>
    <row r="43" customFormat="false" ht="14.5" hidden="true" customHeight="false" outlineLevel="0" collapsed="false">
      <c r="A43" s="16" t="n">
        <v>17</v>
      </c>
      <c r="B43" s="1" t="s">
        <v>37</v>
      </c>
      <c r="C43" s="1" t="s">
        <v>75</v>
      </c>
      <c r="D43" s="1" t="str">
        <f aca="false">IF(OR(LEFT(C43, 2)="SE", LEFT(C43, 2)="S4"), "C6", IF(LEFT(C43, 2)="S1", "C1", IF(OR(LEFT(C43, 2)="S2", LEFT(C43, 2)="S5"), "C3&amp;5", IF(LEFT(C43, 2)="S3", "C4", IF(LEFT(C43, 2)="SC", "C7", IF(LEFT(C43, 2)="S6", "C2", "Other"))))))</f>
        <v>C3&amp;5</v>
      </c>
      <c r="E43" s="1" t="n">
        <v>3</v>
      </c>
      <c r="F43" s="21" t="s">
        <v>176</v>
      </c>
      <c r="G43" s="12" t="s">
        <v>125</v>
      </c>
      <c r="H43" s="1" t="s">
        <v>177</v>
      </c>
      <c r="I43" s="1" t="s">
        <v>178</v>
      </c>
      <c r="J43" s="1"/>
    </row>
    <row r="44" customFormat="false" ht="14.5" hidden="true" customHeight="false" outlineLevel="0" collapsed="false">
      <c r="A44" s="5" t="n">
        <v>18</v>
      </c>
      <c r="B44" s="5" t="s">
        <v>123</v>
      </c>
      <c r="C44" s="5" t="s">
        <v>179</v>
      </c>
      <c r="D44" s="5" t="str">
        <f aca="false">IF(OR(LEFT(C44, 2)="SE", LEFT(C44, 2)="S4"), "C6", IF(LEFT(C44, 2)="S1", "C1", IF(OR(LEFT(C44, 2)="S2", LEFT(C44, 2)="S5"), "C3&amp;5", IF(LEFT(C44, 2)="S3", "C4", IF(LEFT(C44, 2)="SC", "C7", IF(LEFT(C44, 2)="S6", "C2", "Other"))))))</f>
        <v>C2</v>
      </c>
      <c r="E44" s="5" t="n">
        <v>1</v>
      </c>
      <c r="F44" s="5" t="s">
        <v>180</v>
      </c>
      <c r="G44" s="12" t="s">
        <v>77</v>
      </c>
      <c r="H44" s="5" t="s">
        <v>181</v>
      </c>
      <c r="I44" s="5" t="s">
        <v>182</v>
      </c>
      <c r="J44" s="5"/>
    </row>
    <row r="45" customFormat="false" ht="14.5" hidden="true" customHeight="false" outlineLevel="0" collapsed="false">
      <c r="A45" s="22" t="n">
        <v>18</v>
      </c>
      <c r="B45" s="1" t="s">
        <v>31</v>
      </c>
      <c r="C45" s="1" t="s">
        <v>56</v>
      </c>
      <c r="D45" s="1" t="str">
        <f aca="false">IF(OR(LEFT(C45, 2)="SE", LEFT(C45, 2)="S4"), "C6", IF(LEFT(C45, 2)="S1", "C1", IF(OR(LEFT(C45, 2)="S2", LEFT(C45, 2)="S5"), "C3&amp;5", IF(LEFT(C45, 2)="S3", "C4", IF(LEFT(C45, 2)="SC", "C7", IF(LEFT(C45, 2)="S6", "C2", "Other"))))))</f>
        <v>C4</v>
      </c>
      <c r="E45" s="1" t="n">
        <v>1</v>
      </c>
      <c r="F45" s="15" t="s">
        <v>183</v>
      </c>
      <c r="G45" s="12" t="s">
        <v>77</v>
      </c>
      <c r="H45" s="1" t="s">
        <v>184</v>
      </c>
      <c r="I45" s="1" t="s">
        <v>185</v>
      </c>
      <c r="J45" s="1"/>
    </row>
    <row r="46" customFormat="false" ht="14.5" hidden="true" customHeight="false" outlineLevel="0" collapsed="false">
      <c r="A46" s="5" t="n">
        <v>18</v>
      </c>
      <c r="B46" s="5" t="s">
        <v>37</v>
      </c>
      <c r="C46" s="5" t="s">
        <v>65</v>
      </c>
      <c r="D46" s="5" t="str">
        <f aca="false">IF(OR(LEFT(C46, 2)="SE", LEFT(C46, 2)="S4"), "C6", IF(LEFT(C46, 2)="S1", "C1", IF(OR(LEFT(C46, 2)="S2", LEFT(C46, 2)="S5"), "C3&amp;5", IF(LEFT(C46, 2)="S3", "C4", IF(LEFT(C46, 2)="SC", "C7", IF(LEFT(C46, 2)="S6", "C2", "Other"))))))</f>
        <v>C6</v>
      </c>
      <c r="E46" s="5" t="n">
        <v>1</v>
      </c>
      <c r="F46" s="15" t="s">
        <v>183</v>
      </c>
      <c r="G46" s="12" t="s">
        <v>77</v>
      </c>
      <c r="H46" s="5" t="s">
        <v>186</v>
      </c>
      <c r="I46" s="5" t="s">
        <v>187</v>
      </c>
      <c r="J46" s="5"/>
    </row>
    <row r="47" customFormat="false" ht="14.5" hidden="true" customHeight="false" outlineLevel="0" collapsed="false">
      <c r="A47" s="1" t="n">
        <v>19</v>
      </c>
      <c r="B47" s="1" t="s">
        <v>123</v>
      </c>
      <c r="C47" s="1" t="s">
        <v>81</v>
      </c>
      <c r="D47" s="1" t="str">
        <f aca="false">IF(OR(LEFT(C47, 2)="SE", LEFT(C47, 2)="S4"), "C6", IF(LEFT(C47, 2)="S1", "C1", IF(OR(LEFT(C47, 2)="S2", LEFT(C47, 2)="S5"), "C3&amp;5", IF(LEFT(C47, 2)="S3", "C4", IF(LEFT(C47, 2)="SC", "C7", IF(LEFT(C47, 2)="S6", "C2", "Other"))))))</f>
        <v>C3&amp;5</v>
      </c>
      <c r="E47" s="1" t="n">
        <v>3</v>
      </c>
      <c r="F47" s="5" t="s">
        <v>188</v>
      </c>
      <c r="G47" s="12" t="s">
        <v>125</v>
      </c>
      <c r="H47" s="1" t="s">
        <v>189</v>
      </c>
      <c r="I47" s="1" t="s">
        <v>190</v>
      </c>
      <c r="J47" s="1"/>
    </row>
    <row r="48" customFormat="false" ht="14.5" hidden="false" customHeight="false" outlineLevel="0" collapsed="false">
      <c r="A48" s="5" t="n">
        <v>19</v>
      </c>
      <c r="B48" s="5" t="s">
        <v>37</v>
      </c>
      <c r="C48" s="5" t="s">
        <v>1</v>
      </c>
      <c r="D48" s="5" t="str">
        <f aca="false">IF(OR(LEFT(C48, 2)="SE", LEFT(C48, 2)="S4"), "C6", IF(LEFT(C48, 2)="S1", "C1", IF(OR(LEFT(C48, 2)="S2", LEFT(C48, 2)="S5"), "C3&amp;5", IF(LEFT(C48, 2)="S3", "C4", IF(LEFT(C48, 2)="SC", "C7", IF(LEFT(C48, 2)="S6", "C2", "Other"))))))</f>
        <v>C7</v>
      </c>
      <c r="E48" s="5" t="n">
        <v>6</v>
      </c>
      <c r="F48" s="5" t="s">
        <v>188</v>
      </c>
      <c r="G48" s="12" t="s">
        <v>125</v>
      </c>
      <c r="H48" s="5" t="s">
        <v>191</v>
      </c>
      <c r="I48" s="5" t="s">
        <v>192</v>
      </c>
      <c r="J48" s="5"/>
    </row>
    <row r="49" customFormat="false" ht="14.5" hidden="true" customHeight="false" outlineLevel="0" collapsed="false">
      <c r="A49" s="1" t="n">
        <v>19</v>
      </c>
      <c r="B49" s="1" t="s">
        <v>42</v>
      </c>
      <c r="C49" s="1" t="s">
        <v>65</v>
      </c>
      <c r="D49" s="1" t="str">
        <f aca="false">IF(OR(LEFT(C49, 2)="SE", LEFT(C49, 2)="S4"), "C6", IF(LEFT(C49, 2)="S1", "C1", IF(OR(LEFT(C49, 2)="S2", LEFT(C49, 2)="S5"), "C3&amp;5", IF(LEFT(C49, 2)="S3", "C4", IF(LEFT(C49, 2)="SC", "C7", IF(LEFT(C49, 2)="S6", "C2", "Other"))))))</f>
        <v>C6</v>
      </c>
      <c r="E49" s="1" t="n">
        <v>1</v>
      </c>
      <c r="F49" s="5" t="s">
        <v>188</v>
      </c>
      <c r="G49" s="12" t="s">
        <v>125</v>
      </c>
      <c r="H49" s="1" t="s">
        <v>193</v>
      </c>
      <c r="I49" s="1" t="s">
        <v>194</v>
      </c>
      <c r="J49" s="1"/>
    </row>
    <row r="50" customFormat="false" ht="14.5" hidden="true" customHeight="false" outlineLevel="0" collapsed="false">
      <c r="A50" s="23" t="n">
        <v>19</v>
      </c>
      <c r="B50" s="5" t="s">
        <v>47</v>
      </c>
      <c r="C50" s="5" t="s">
        <v>56</v>
      </c>
      <c r="D50" s="5" t="str">
        <f aca="false">IF(OR(LEFT(C50, 2)="SE", LEFT(C50, 2)="S4"), "C6", IF(LEFT(C50, 2)="S1", "C1", IF(OR(LEFT(C50, 2)="S2", LEFT(C50, 2)="S5"), "C3&amp;5", IF(LEFT(C50, 2)="S3", "C4", IF(LEFT(C50, 2)="SC", "C7", IF(LEFT(C50, 2)="S6", "C2", "Other"))))))</f>
        <v>C4</v>
      </c>
      <c r="E50" s="5" t="n">
        <v>4</v>
      </c>
      <c r="F50" s="5" t="s">
        <v>188</v>
      </c>
      <c r="G50" s="12" t="s">
        <v>125</v>
      </c>
      <c r="H50" s="5" t="s">
        <v>195</v>
      </c>
      <c r="I50" s="5" t="s">
        <v>196</v>
      </c>
      <c r="J50" s="5"/>
    </row>
    <row r="51" customFormat="false" ht="14.5" hidden="false" customHeight="false" outlineLevel="0" collapsed="false">
      <c r="A51" s="13" t="n">
        <v>20</v>
      </c>
      <c r="B51" s="1" t="s">
        <v>31</v>
      </c>
      <c r="C51" s="1" t="s">
        <v>1</v>
      </c>
      <c r="D51" s="1" t="str">
        <f aca="false">IF(OR(LEFT(C51, 2)="SE", LEFT(C51, 2)="S4"), "C6", IF(LEFT(C51, 2)="S1", "C1", IF(OR(LEFT(C51, 2)="S2", LEFT(C51, 2)="S5"), "C3&amp;5", IF(LEFT(C51, 2)="S3", "C4", IF(LEFT(C51, 2)="SC", "C7", IF(LEFT(C51, 2)="S6", "C2", "Other"))))))</f>
        <v>C7</v>
      </c>
      <c r="E51" s="1" t="n">
        <v>5</v>
      </c>
      <c r="F51" s="1" t="s">
        <v>197</v>
      </c>
      <c r="G51" s="12" t="s">
        <v>125</v>
      </c>
      <c r="H51" s="1" t="s">
        <v>198</v>
      </c>
      <c r="I51" s="1" t="s">
        <v>199</v>
      </c>
      <c r="J51" s="1"/>
    </row>
    <row r="52" customFormat="false" ht="14.5" hidden="true" customHeight="false" outlineLevel="0" collapsed="false">
      <c r="A52" s="11" t="n">
        <v>20</v>
      </c>
      <c r="B52" s="5" t="s">
        <v>47</v>
      </c>
      <c r="C52" s="5" t="s">
        <v>38</v>
      </c>
      <c r="D52" s="5" t="str">
        <f aca="false">IF(OR(LEFT(C52, 2)="SE", LEFT(C52, 2)="S4"), "C6", IF(LEFT(C52, 2)="S1", "C1", IF(OR(LEFT(C52, 2)="S2", LEFT(C52, 2)="S5"), "C3&amp;5", IF(LEFT(C52, 2)="S3", "C4", IF(LEFT(C52, 2)="SC", "C7", IF(LEFT(C52, 2)="S6", "C2", "Other"))))))</f>
        <v>C1</v>
      </c>
      <c r="E52" s="5" t="n">
        <v>2</v>
      </c>
      <c r="F52" s="5" t="s">
        <v>200</v>
      </c>
      <c r="G52" s="12" t="s">
        <v>34</v>
      </c>
      <c r="H52" s="5" t="s">
        <v>201</v>
      </c>
      <c r="I52" s="5" t="s">
        <v>202</v>
      </c>
      <c r="J52" s="5"/>
    </row>
    <row r="53" customFormat="false" ht="14.5" hidden="true" customHeight="false" outlineLevel="0" collapsed="false">
      <c r="A53" s="13" t="n">
        <v>20</v>
      </c>
      <c r="B53" s="1" t="s">
        <v>51</v>
      </c>
      <c r="C53" s="1" t="s">
        <v>38</v>
      </c>
      <c r="D53" s="1" t="str">
        <f aca="false">IF(OR(LEFT(C53, 2)="SE", LEFT(C53, 2)="S4"), "C6", IF(LEFT(C53, 2)="S1", "C1", IF(OR(LEFT(C53, 2)="S2", LEFT(C53, 2)="S5"), "C3&amp;5", IF(LEFT(C53, 2)="S3", "C4", IF(LEFT(C53, 2)="SC", "C7", IF(LEFT(C53, 2)="S6", "C2", "Other"))))))</f>
        <v>C1</v>
      </c>
      <c r="E53" s="1" t="n">
        <v>1</v>
      </c>
      <c r="F53" s="1" t="s">
        <v>203</v>
      </c>
      <c r="G53" s="12" t="s">
        <v>34</v>
      </c>
      <c r="H53" s="1" t="s">
        <v>204</v>
      </c>
      <c r="I53" s="1" t="s">
        <v>205</v>
      </c>
      <c r="J53" s="1"/>
    </row>
    <row r="54" customFormat="false" ht="14.5" hidden="true" customHeight="false" outlineLevel="0" collapsed="false">
      <c r="A54" s="11" t="n">
        <v>20</v>
      </c>
      <c r="B54" s="5" t="s">
        <v>55</v>
      </c>
      <c r="C54" s="5" t="s">
        <v>206</v>
      </c>
      <c r="D54" s="5" t="str">
        <f aca="false">IF(OR(LEFT(C54, 2)="SE", LEFT(C54, 2)="S4"), "C6", IF(LEFT(C54, 2)="S1", "C1", IF(OR(LEFT(C54, 2)="S2", LEFT(C54, 2)="S5"), "C3&amp;5", IF(LEFT(C54, 2)="S3", "C4", IF(LEFT(C54, 2)="SC", "C7", IF(LEFT(C54, 2)="S6", "C2", "Other"))))))</f>
        <v>C1</v>
      </c>
      <c r="E54" s="5" t="n">
        <v>2</v>
      </c>
      <c r="F54" s="5" t="s">
        <v>76</v>
      </c>
      <c r="G54" s="12" t="s">
        <v>125</v>
      </c>
      <c r="H54" s="5" t="s">
        <v>207</v>
      </c>
      <c r="I54" s="5" t="s">
        <v>208</v>
      </c>
      <c r="J54" s="5"/>
    </row>
    <row r="55" customFormat="false" ht="14.5" hidden="false" customHeight="false" outlineLevel="0" collapsed="false">
      <c r="A55" s="13" t="n">
        <v>20</v>
      </c>
      <c r="B55" s="1" t="s">
        <v>71</v>
      </c>
      <c r="C55" s="1" t="s">
        <v>1</v>
      </c>
      <c r="D55" s="1" t="str">
        <f aca="false">IF(OR(LEFT(C55, 2)="SE", LEFT(C55, 2)="S4"), "C6", IF(LEFT(C55, 2)="S1", "C1", IF(OR(LEFT(C55, 2)="S2", LEFT(C55, 2)="S5"), "C3&amp;5", IF(LEFT(C55, 2)="S3", "C4", IF(LEFT(C55, 2)="SC", "C7", IF(LEFT(C55, 2)="S6", "C2", "Other"))))))</f>
        <v>C7</v>
      </c>
      <c r="E55" s="1" t="n">
        <v>1</v>
      </c>
      <c r="F55" s="1" t="s">
        <v>76</v>
      </c>
      <c r="G55" s="12" t="s">
        <v>125</v>
      </c>
      <c r="H55" s="1" t="s">
        <v>209</v>
      </c>
      <c r="I55" s="1" t="s">
        <v>210</v>
      </c>
      <c r="J55" s="1"/>
    </row>
    <row r="56" customFormat="false" ht="14.5" hidden="true" customHeight="false" outlineLevel="0" collapsed="false">
      <c r="A56" s="11" t="n">
        <v>20</v>
      </c>
      <c r="B56" s="5" t="s">
        <v>211</v>
      </c>
      <c r="C56" s="5" t="s">
        <v>212</v>
      </c>
      <c r="D56" s="5" t="str">
        <f aca="false">IF(OR(LEFT(C56, 2)="SE", LEFT(C56, 2)="S4"), "C6", IF(LEFT(C56, 2)="S1", "C1", IF(OR(LEFT(C56, 2)="S2", LEFT(C56, 2)="S5"), "C3&amp;5", IF(LEFT(C56, 2)="S3", "C4", IF(LEFT(C56, 2)="SC", "C7", IF(LEFT(C56, 2)="S6", "C2", "Other"))))))</f>
        <v>C3&amp;5</v>
      </c>
      <c r="E56" s="5" t="n">
        <v>1</v>
      </c>
      <c r="F56" s="0" t="s">
        <v>197</v>
      </c>
      <c r="G56" s="12" t="s">
        <v>125</v>
      </c>
      <c r="H56" s="5" t="s">
        <v>213</v>
      </c>
      <c r="I56" s="5" t="s">
        <v>214</v>
      </c>
      <c r="J56" s="5"/>
    </row>
    <row r="57" customFormat="false" ht="14.5" hidden="false" customHeight="false" outlineLevel="0" collapsed="false">
      <c r="A57" s="13" t="n">
        <v>20</v>
      </c>
      <c r="B57" s="1" t="s">
        <v>80</v>
      </c>
      <c r="C57" s="1" t="s">
        <v>1</v>
      </c>
      <c r="D57" s="1" t="str">
        <f aca="false">IF(OR(LEFT(C57, 2)="SE", LEFT(C57, 2)="S4"), "C6", IF(LEFT(C57, 2)="S1", "C1", IF(OR(LEFT(C57, 2)="S2", LEFT(C57, 2)="S5"), "C3&amp;5", IF(LEFT(C57, 2)="S3", "C4", IF(LEFT(C57, 2)="SC", "C7", IF(LEFT(C57, 2)="S6", "C2", "Other"))))))</f>
        <v>C7</v>
      </c>
      <c r="E57" s="1" t="n">
        <v>1</v>
      </c>
      <c r="F57" s="1" t="s">
        <v>197</v>
      </c>
      <c r="G57" s="12" t="s">
        <v>125</v>
      </c>
      <c r="H57" s="1" t="s">
        <v>215</v>
      </c>
      <c r="I57" s="1" t="s">
        <v>216</v>
      </c>
      <c r="J57" s="1"/>
    </row>
    <row r="58" customFormat="false" ht="14.5" hidden="false" customHeight="false" outlineLevel="0" collapsed="false">
      <c r="A58" s="11" t="n">
        <v>20</v>
      </c>
      <c r="B58" s="5" t="s">
        <v>85</v>
      </c>
      <c r="C58" s="5" t="s">
        <v>1</v>
      </c>
      <c r="D58" s="5" t="str">
        <f aca="false">IF(OR(LEFT(C58, 2)="SE", LEFT(C58, 2)="S4"), "C6", IF(LEFT(C58, 2)="S1", "C1", IF(OR(LEFT(C58, 2)="S2", LEFT(C58, 2)="S5"), "C3&amp;5", IF(LEFT(C58, 2)="S3", "C4", IF(LEFT(C58, 2)="SC", "C7", IF(LEFT(C58, 2)="S6", "C2", "Other"))))))</f>
        <v>C7</v>
      </c>
      <c r="E58" s="5" t="n">
        <v>1</v>
      </c>
      <c r="F58" s="5" t="s">
        <v>197</v>
      </c>
      <c r="G58" s="12" t="s">
        <v>125</v>
      </c>
      <c r="H58" s="5" t="s">
        <v>217</v>
      </c>
      <c r="I58" s="5" t="s">
        <v>218</v>
      </c>
      <c r="J58" s="5"/>
    </row>
    <row r="59" customFormat="false" ht="14.5" hidden="true" customHeight="false" outlineLevel="0" collapsed="false">
      <c r="A59" s="13" t="n">
        <v>20</v>
      </c>
      <c r="B59" s="1" t="s">
        <v>88</v>
      </c>
      <c r="C59" s="1" t="s">
        <v>38</v>
      </c>
      <c r="D59" s="1" t="str">
        <f aca="false">IF(OR(LEFT(C59, 2)="SE", LEFT(C59, 2)="S4"), "C6", IF(LEFT(C59, 2)="S1", "C1", IF(OR(LEFT(C59, 2)="S2", LEFT(C59, 2)="S5"), "C3&amp;5", IF(LEFT(C59, 2)="S3", "C4", IF(LEFT(C59, 2)="SC", "C7", IF(LEFT(C59, 2)="S6", "C2", "Other"))))))</f>
        <v>C1</v>
      </c>
      <c r="E59" s="1" t="n">
        <v>1</v>
      </c>
      <c r="F59" s="1" t="s">
        <v>219</v>
      </c>
      <c r="G59" s="12" t="s">
        <v>34</v>
      </c>
      <c r="H59" s="1" t="s">
        <v>220</v>
      </c>
      <c r="I59" s="1" t="s">
        <v>221</v>
      </c>
      <c r="J59" s="1"/>
    </row>
    <row r="60" customFormat="false" ht="14.5" hidden="false" customHeight="false" outlineLevel="0" collapsed="false">
      <c r="A60" s="11" t="n">
        <v>21</v>
      </c>
      <c r="B60" s="5" t="s">
        <v>31</v>
      </c>
      <c r="C60" s="5" t="s">
        <v>1</v>
      </c>
      <c r="D60" s="5" t="str">
        <f aca="false">IF(OR(LEFT(C60, 2)="SE", LEFT(C60, 2)="S4"), "C6", IF(LEFT(C60, 2)="S1", "C1", IF(OR(LEFT(C60, 2)="S2", LEFT(C60, 2)="S5"), "C3&amp;5", IF(LEFT(C60, 2)="S3", "C4", IF(LEFT(C60, 2)="SC", "C7", IF(LEFT(C60, 2)="S6", "C2", "Other"))))))</f>
        <v>C7</v>
      </c>
      <c r="E60" s="5" t="n">
        <v>3</v>
      </c>
      <c r="F60" s="5" t="s">
        <v>222</v>
      </c>
      <c r="G60" s="12" t="s">
        <v>34</v>
      </c>
      <c r="H60" s="5" t="s">
        <v>223</v>
      </c>
      <c r="I60" s="5" t="s">
        <v>224</v>
      </c>
      <c r="J60" s="5"/>
    </row>
    <row r="61" customFormat="false" ht="14.5" hidden="true" customHeight="false" outlineLevel="0" collapsed="false">
      <c r="A61" s="1" t="n">
        <v>22</v>
      </c>
      <c r="B61" s="1" t="s">
        <v>31</v>
      </c>
      <c r="C61" s="1" t="s">
        <v>225</v>
      </c>
      <c r="D61" s="1" t="str">
        <f aca="false">IF(OR(LEFT(C61, 2)="SE", LEFT(C61, 2)="S4"), "C6", IF(LEFT(C61, 2)="S1", "C1", IF(OR(LEFT(C61, 2)="S2", LEFT(C61, 2)="S5"), "C3&amp;5", IF(LEFT(C61, 2)="S3", "C4", IF(LEFT(C61, 2)="SC", "C7", IF(LEFT(C61, 2)="S6", "C2", "Other"))))))</f>
        <v>C3&amp;5</v>
      </c>
      <c r="E61" s="1" t="n">
        <v>1</v>
      </c>
      <c r="F61" s="1" t="s">
        <v>180</v>
      </c>
      <c r="G61" s="12" t="s">
        <v>77</v>
      </c>
      <c r="H61" s="1" t="s">
        <v>226</v>
      </c>
      <c r="I61" s="1" t="s">
        <v>227</v>
      </c>
      <c r="J61" s="1"/>
    </row>
    <row r="62" customFormat="false" ht="14.5" hidden="true" customHeight="false" outlineLevel="0" collapsed="false">
      <c r="A62" s="5" t="n">
        <v>22</v>
      </c>
      <c r="B62" s="5" t="s">
        <v>37</v>
      </c>
      <c r="C62" s="5" t="s">
        <v>228</v>
      </c>
      <c r="D62" s="5" t="str">
        <f aca="false">IF(OR(LEFT(C62, 2)="SE", LEFT(C62, 2)="S4"), "C6", IF(LEFT(C62, 2)="S1", "C1", IF(OR(LEFT(C62, 2)="S2", LEFT(C62, 2)="S5"), "C3&amp;5", IF(LEFT(C62, 2)="S3", "C4", IF(LEFT(C62, 2)="SC", "C7", IF(LEFT(C62, 2)="S6", "C2", "Other"))))))</f>
        <v>C6</v>
      </c>
      <c r="E62" s="5" t="n">
        <v>1</v>
      </c>
      <c r="F62" s="5" t="s">
        <v>180</v>
      </c>
      <c r="G62" s="12" t="s">
        <v>77</v>
      </c>
      <c r="H62" s="5" t="s">
        <v>229</v>
      </c>
      <c r="I62" s="5" t="s">
        <v>230</v>
      </c>
      <c r="J62" s="5"/>
    </row>
    <row r="63" customFormat="false" ht="14.5" hidden="true" customHeight="false" outlineLevel="0" collapsed="false">
      <c r="A63" s="13" t="n">
        <v>23</v>
      </c>
      <c r="B63" s="1" t="s">
        <v>123</v>
      </c>
      <c r="C63" s="1" t="s">
        <v>32</v>
      </c>
      <c r="D63" s="1" t="str">
        <f aca="false">IF(OR(LEFT(C63, 2)="SE", LEFT(C63, 2)="S4"), "C6", IF(LEFT(C63, 2)="S1", "C1", IF(OR(LEFT(C63, 2)="S2", LEFT(C63, 2)="S5"), "C3&amp;5", IF(LEFT(C63, 2)="S3", "C4", IF(LEFT(C63, 2)="SC", "C7", IF(LEFT(C63, 2)="S6", "C2", "Other"))))))</f>
        <v>C6</v>
      </c>
      <c r="E63" s="1" t="n">
        <v>2</v>
      </c>
      <c r="F63" s="1" t="s">
        <v>231</v>
      </c>
      <c r="G63" s="12" t="s">
        <v>34</v>
      </c>
      <c r="H63" s="1" t="s">
        <v>232</v>
      </c>
      <c r="I63" s="1" t="s">
        <v>233</v>
      </c>
      <c r="J63" s="1"/>
    </row>
    <row r="64" customFormat="false" ht="14.5" hidden="true" customHeight="false" outlineLevel="0" collapsed="false">
      <c r="A64" s="17" t="n">
        <v>23</v>
      </c>
      <c r="B64" s="18" t="s">
        <v>42</v>
      </c>
      <c r="C64" s="18" t="s">
        <v>81</v>
      </c>
      <c r="D64" s="18" t="str">
        <f aca="false">IF(OR(LEFT(C64, 2)="SE", LEFT(C64, 2)="S4"), "C6", IF(LEFT(C64, 2)="S1", "C1", IF(OR(LEFT(C64, 2)="S2", LEFT(C64, 2)="S5"), "C3&amp;5", IF(LEFT(C64, 2)="S3", "C4", IF(LEFT(C64, 2)="SC", "C7", IF(LEFT(C64, 2)="S6", "C2", "Other"))))))</f>
        <v>C3&amp;5</v>
      </c>
      <c r="E64" s="18" t="n">
        <v>1</v>
      </c>
      <c r="F64" s="18" t="s">
        <v>234</v>
      </c>
      <c r="G64" s="12" t="s">
        <v>34</v>
      </c>
      <c r="H64" s="18" t="s">
        <v>235</v>
      </c>
      <c r="I64" s="5" t="s">
        <v>236</v>
      </c>
      <c r="J64" s="5"/>
    </row>
    <row r="65" customFormat="false" ht="14.5" hidden="true" customHeight="false" outlineLevel="0" collapsed="false">
      <c r="A65" s="24" t="n">
        <v>23</v>
      </c>
      <c r="B65" s="25" t="s">
        <v>47</v>
      </c>
      <c r="C65" s="25" t="s">
        <v>81</v>
      </c>
      <c r="D65" s="25" t="str">
        <f aca="false">IF(OR(LEFT(C65, 2)="SE", LEFT(C65, 2)="S4"), "C6", IF(LEFT(C65, 2)="S1", "C1", IF(OR(LEFT(C65, 2)="S2", LEFT(C65, 2)="S5"), "C3&amp;5", IF(LEFT(C65, 2)="S3", "C4", IF(LEFT(C65, 2)="SC", "C7", IF(LEFT(C65, 2)="S6", "C2", "Other"))))))</f>
        <v>C3&amp;5</v>
      </c>
      <c r="E65" s="25" t="n">
        <v>2</v>
      </c>
      <c r="F65" s="25" t="s">
        <v>237</v>
      </c>
      <c r="G65" s="12" t="s">
        <v>34</v>
      </c>
      <c r="H65" s="25" t="s">
        <v>238</v>
      </c>
      <c r="I65" s="1" t="s">
        <v>239</v>
      </c>
      <c r="J65" s="1"/>
    </row>
    <row r="66" customFormat="false" ht="14.5" hidden="true" customHeight="false" outlineLevel="0" collapsed="false">
      <c r="A66" s="11" t="n">
        <v>23</v>
      </c>
      <c r="B66" s="5" t="s">
        <v>74</v>
      </c>
      <c r="C66" s="5" t="s">
        <v>38</v>
      </c>
      <c r="D66" s="5" t="str">
        <f aca="false">IF(OR(LEFT(C66, 2)="SE", LEFT(C66, 2)="S4"), "C6", IF(LEFT(C66, 2)="S1", "C1", IF(OR(LEFT(C66, 2)="S2", LEFT(C66, 2)="S5"), "C3&amp;5", IF(LEFT(C66, 2)="S3", "C4", IF(LEFT(C66, 2)="SC", "C7", IF(LEFT(C66, 2)="S6", "C2", "Other"))))))</f>
        <v>C1</v>
      </c>
      <c r="E66" s="5" t="n">
        <v>1</v>
      </c>
      <c r="F66" s="5" t="s">
        <v>240</v>
      </c>
      <c r="G66" s="12" t="s">
        <v>34</v>
      </c>
      <c r="H66" s="5" t="s">
        <v>241</v>
      </c>
      <c r="I66" s="5" t="s">
        <v>242</v>
      </c>
      <c r="J66" s="5"/>
    </row>
    <row r="67" customFormat="false" ht="14.5" hidden="true" customHeight="false" outlineLevel="0" collapsed="false">
      <c r="A67" s="16" t="n">
        <v>24</v>
      </c>
      <c r="B67" s="1" t="s">
        <v>37</v>
      </c>
      <c r="C67" s="1" t="s">
        <v>56</v>
      </c>
      <c r="D67" s="1" t="str">
        <f aca="false">IF(OR(LEFT(C67, 2)="SE", LEFT(C67, 2)="S4"), "C6", IF(LEFT(C67, 2)="S1", "C1", IF(OR(LEFT(C67, 2)="S2", LEFT(C67, 2)="S5"), "C3&amp;5", IF(LEFT(C67, 2)="S3", "C4", IF(LEFT(C67, 2)="SC", "C7", IF(LEFT(C67, 2)="S6", "C2", "Other"))))))</f>
        <v>C4</v>
      </c>
      <c r="E67" s="1" t="n">
        <v>1</v>
      </c>
      <c r="F67" s="1" t="s">
        <v>243</v>
      </c>
      <c r="G67" s="12" t="s">
        <v>34</v>
      </c>
      <c r="H67" s="1" t="s">
        <v>244</v>
      </c>
      <c r="I67" s="1" t="s">
        <v>245</v>
      </c>
      <c r="J67" s="1"/>
    </row>
    <row r="68" customFormat="false" ht="14.5" hidden="true" customHeight="false" outlineLevel="0" collapsed="false">
      <c r="A68" s="11" t="n">
        <v>24</v>
      </c>
      <c r="B68" s="5" t="s">
        <v>42</v>
      </c>
      <c r="C68" s="5" t="s">
        <v>32</v>
      </c>
      <c r="D68" s="5" t="str">
        <f aca="false">IF(OR(LEFT(C68, 2)="SE", LEFT(C68, 2)="S4"), "C6", IF(LEFT(C68, 2)="S1", "C1", IF(OR(LEFT(C68, 2)="S2", LEFT(C68, 2)="S5"), "C3&amp;5", IF(LEFT(C68, 2)="S3", "C4", IF(LEFT(C68, 2)="SC", "C7", IF(LEFT(C68, 2)="S6", "C2", "Other"))))))</f>
        <v>C6</v>
      </c>
      <c r="E68" s="5" t="n">
        <v>2</v>
      </c>
      <c r="F68" s="5" t="s">
        <v>243</v>
      </c>
      <c r="G68" s="12" t="s">
        <v>34</v>
      </c>
      <c r="H68" s="5" t="s">
        <v>246</v>
      </c>
      <c r="I68" s="5" t="s">
        <v>247</v>
      </c>
      <c r="J68" s="5"/>
    </row>
    <row r="69" customFormat="false" ht="14.5" hidden="true" customHeight="false" outlineLevel="0" collapsed="false">
      <c r="A69" s="13" t="n">
        <v>25</v>
      </c>
      <c r="B69" s="1" t="s">
        <v>123</v>
      </c>
      <c r="C69" s="1" t="s">
        <v>48</v>
      </c>
      <c r="D69" s="1" t="str">
        <f aca="false">IF(OR(LEFT(C69, 2)="SE", LEFT(C69, 2)="S4"), "C6", IF(LEFT(C69, 2)="S1", "C1", IF(OR(LEFT(C69, 2)="S2", LEFT(C69, 2)="S5"), "C3&amp;5", IF(LEFT(C69, 2)="S3", "C4", IF(LEFT(C69, 2)="SC", "C7", IF(LEFT(C69, 2)="S6", "C2", "Other"))))))</f>
        <v>C2</v>
      </c>
      <c r="E69" s="1" t="n">
        <v>1</v>
      </c>
      <c r="F69" s="1" t="s">
        <v>248</v>
      </c>
      <c r="G69" s="12" t="s">
        <v>34</v>
      </c>
      <c r="H69" s="1" t="s">
        <v>249</v>
      </c>
      <c r="I69" s="1" t="s">
        <v>250</v>
      </c>
      <c r="J69" s="1"/>
    </row>
    <row r="70" customFormat="false" ht="14.5" hidden="true" customHeight="false" outlineLevel="0" collapsed="false">
      <c r="A70" s="20" t="n">
        <v>25</v>
      </c>
      <c r="B70" s="5" t="s">
        <v>31</v>
      </c>
      <c r="C70" s="5" t="s">
        <v>56</v>
      </c>
      <c r="D70" s="5" t="str">
        <f aca="false">IF(OR(LEFT(C70, 2)="SE", LEFT(C70, 2)="S4"), "C6", IF(LEFT(C70, 2)="S1", "C1", IF(OR(LEFT(C70, 2)="S2", LEFT(C70, 2)="S5"), "C3&amp;5", IF(LEFT(C70, 2)="S3", "C4", IF(LEFT(C70, 2)="SC", "C7", IF(LEFT(C70, 2)="S6", "C2", "Other"))))))</f>
        <v>C4</v>
      </c>
      <c r="E70" s="5" t="n">
        <v>1</v>
      </c>
      <c r="F70" s="5" t="s">
        <v>251</v>
      </c>
      <c r="G70" s="12" t="s">
        <v>34</v>
      </c>
      <c r="H70" s="5" t="s">
        <v>252</v>
      </c>
      <c r="I70" s="5" t="s">
        <v>253</v>
      </c>
      <c r="J70" s="5"/>
    </row>
    <row r="71" customFormat="false" ht="14.5" hidden="true" customHeight="false" outlineLevel="0" collapsed="false">
      <c r="A71" s="13" t="n">
        <v>25</v>
      </c>
      <c r="B71" s="1" t="s">
        <v>37</v>
      </c>
      <c r="C71" s="1" t="s">
        <v>48</v>
      </c>
      <c r="D71" s="1" t="str">
        <f aca="false">IF(OR(LEFT(C71, 2)="SE", LEFT(C71, 2)="S4"), "C6", IF(LEFT(C71, 2)="S1", "C1", IF(OR(LEFT(C71, 2)="S2", LEFT(C71, 2)="S5"), "C3&amp;5", IF(LEFT(C71, 2)="S3", "C4", IF(LEFT(C71, 2)="SC", "C7", IF(LEFT(C71, 2)="S6", "C2", "Other"))))))</f>
        <v>C2</v>
      </c>
      <c r="E71" s="1" t="n">
        <v>1</v>
      </c>
      <c r="F71" s="1" t="s">
        <v>251</v>
      </c>
      <c r="G71" s="12" t="s">
        <v>34</v>
      </c>
      <c r="H71" s="1" t="s">
        <v>254</v>
      </c>
      <c r="I71" s="1" t="s">
        <v>255</v>
      </c>
      <c r="J71" s="1"/>
    </row>
    <row r="72" customFormat="false" ht="14.5" hidden="true" customHeight="false" outlineLevel="0" collapsed="false">
      <c r="A72" s="11" t="n">
        <v>25</v>
      </c>
      <c r="B72" s="5" t="s">
        <v>47</v>
      </c>
      <c r="C72" s="5" t="s">
        <v>48</v>
      </c>
      <c r="D72" s="5" t="str">
        <f aca="false">IF(OR(LEFT(C72, 2)="SE", LEFT(C72, 2)="S4"), "C6", IF(LEFT(C72, 2)="S1", "C1", IF(OR(LEFT(C72, 2)="S2", LEFT(C72, 2)="S5"), "C3&amp;5", IF(LEFT(C72, 2)="S3", "C4", IF(LEFT(C72, 2)="SC", "C7", IF(LEFT(C72, 2)="S6", "C2", "Other"))))))</f>
        <v>C2</v>
      </c>
      <c r="E72" s="5" t="n">
        <v>1</v>
      </c>
      <c r="F72" s="5" t="s">
        <v>256</v>
      </c>
      <c r="G72" s="12" t="s">
        <v>34</v>
      </c>
      <c r="H72" s="5" t="s">
        <v>257</v>
      </c>
      <c r="I72" s="5" t="s">
        <v>258</v>
      </c>
      <c r="J72" s="5"/>
    </row>
    <row r="73" customFormat="false" ht="14.5" hidden="true" customHeight="false" outlineLevel="0" collapsed="false">
      <c r="A73" s="1" t="n">
        <v>26</v>
      </c>
      <c r="B73" s="1" t="s">
        <v>123</v>
      </c>
      <c r="C73" s="1" t="s">
        <v>1</v>
      </c>
      <c r="D73" s="1" t="str">
        <f aca="false">IF(OR(LEFT(C73, 2)="SE", LEFT(C73, 2)="S4"), "C6", IF(LEFT(C73, 2)="S1", "C1", IF(OR(LEFT(C73, 2)="S2", LEFT(C73, 2)="S5"), "C3&amp;5", IF(LEFT(C73, 2)="S3", "C4", IF(LEFT(C73, 2)="SC", "C7", IF(LEFT(C73, 2)="S6", "C2", "Other"))))))</f>
        <v>C7</v>
      </c>
      <c r="E73" s="1" t="n">
        <v>1</v>
      </c>
      <c r="F73" s="1" t="s">
        <v>259</v>
      </c>
      <c r="G73" s="12" t="s">
        <v>77</v>
      </c>
      <c r="H73" s="1" t="s">
        <v>260</v>
      </c>
      <c r="I73" s="1" t="s">
        <v>261</v>
      </c>
      <c r="J73" s="1"/>
    </row>
    <row r="74" customFormat="false" ht="14.5" hidden="true" customHeight="false" outlineLevel="0" collapsed="false">
      <c r="A74" s="11" t="n">
        <v>28</v>
      </c>
      <c r="B74" s="5" t="s">
        <v>123</v>
      </c>
      <c r="C74" s="5" t="s">
        <v>65</v>
      </c>
      <c r="D74" s="5" t="str">
        <f aca="false">IF(OR(LEFT(C74, 2)="SE", LEFT(C74, 2)="S4"), "C6", IF(LEFT(C74, 2)="S1", "C1", IF(OR(LEFT(C74, 2)="S2", LEFT(C74, 2)="S5"), "C3&amp;5", IF(LEFT(C74, 2)="S3", "C4", IF(LEFT(C74, 2)="SC", "C7", IF(LEFT(C74, 2)="S6", "C2", "Other"))))))</f>
        <v>C6</v>
      </c>
      <c r="E74" s="5" t="n">
        <v>4</v>
      </c>
      <c r="F74" s="5" t="s">
        <v>262</v>
      </c>
      <c r="G74" s="12" t="s">
        <v>125</v>
      </c>
      <c r="H74" s="5" t="s">
        <v>263</v>
      </c>
      <c r="I74" s="5" t="s">
        <v>264</v>
      </c>
      <c r="J74" s="5"/>
    </row>
    <row r="75" customFormat="false" ht="14.5" hidden="false" customHeight="false" outlineLevel="0" collapsed="false">
      <c r="A75" s="13" t="n">
        <v>28</v>
      </c>
      <c r="B75" s="1" t="s">
        <v>31</v>
      </c>
      <c r="C75" s="1" t="s">
        <v>1</v>
      </c>
      <c r="D75" s="1" t="str">
        <f aca="false">IF(OR(LEFT(C75, 2)="SE", LEFT(C75, 2)="S4"), "C6", IF(LEFT(C75, 2)="S1", "C1", IF(OR(LEFT(C75, 2)="S2", LEFT(C75, 2)="S5"), "C3&amp;5", IF(LEFT(C75, 2)="S3", "C4", IF(LEFT(C75, 2)="SC", "C7", IF(LEFT(C75, 2)="S6", "C2", "Other"))))))</f>
        <v>C7</v>
      </c>
      <c r="E75" s="1" t="n">
        <v>1</v>
      </c>
      <c r="F75" s="1" t="s">
        <v>265</v>
      </c>
      <c r="G75" s="12" t="s">
        <v>34</v>
      </c>
      <c r="H75" s="1" t="s">
        <v>266</v>
      </c>
      <c r="I75" s="1" t="s">
        <v>267</v>
      </c>
      <c r="J75" s="1"/>
    </row>
    <row r="76" customFormat="false" ht="14.5" hidden="true" customHeight="false" outlineLevel="0" collapsed="false">
      <c r="A76" s="11" t="n">
        <v>28</v>
      </c>
      <c r="B76" s="5" t="s">
        <v>37</v>
      </c>
      <c r="C76" s="5" t="s">
        <v>103</v>
      </c>
      <c r="D76" s="5" t="str">
        <f aca="false">IF(OR(LEFT(C76, 2)="SE", LEFT(C76, 2)="S4"), "C6", IF(LEFT(C76, 2)="S1", "C1", IF(OR(LEFT(C76, 2)="S2", LEFT(C76, 2)="S5"), "C3&amp;5", IF(LEFT(C76, 2)="S3", "C4", IF(LEFT(C76, 2)="SC", "C7", IF(LEFT(C76, 2)="S6", "C2", "Other"))))))</f>
        <v>C6</v>
      </c>
      <c r="E76" s="5" t="n">
        <v>1</v>
      </c>
      <c r="F76" s="5" t="s">
        <v>268</v>
      </c>
      <c r="G76" s="12" t="s">
        <v>125</v>
      </c>
      <c r="H76" s="5" t="s">
        <v>269</v>
      </c>
      <c r="I76" s="5" t="s">
        <v>270</v>
      </c>
      <c r="J76" s="5"/>
    </row>
    <row r="77" customFormat="false" ht="14.5" hidden="false" customHeight="false" outlineLevel="0" collapsed="false">
      <c r="A77" s="13" t="n">
        <v>29</v>
      </c>
      <c r="B77" s="1" t="s">
        <v>42</v>
      </c>
      <c r="C77" s="1" t="s">
        <v>1</v>
      </c>
      <c r="D77" s="1" t="str">
        <f aca="false">IF(OR(LEFT(C77, 2)="SE", LEFT(C77, 2)="S4"), "C6", IF(LEFT(C77, 2)="S1", "C1", IF(OR(LEFT(C77, 2)="S2", LEFT(C77, 2)="S5"), "C3&amp;5", IF(LEFT(C77, 2)="S3", "C4", IF(LEFT(C77, 2)="SC", "C7", IF(LEFT(C77, 2)="S6", "C2", "Other"))))))</f>
        <v>C7</v>
      </c>
      <c r="E77" s="1" t="n">
        <v>2</v>
      </c>
      <c r="F77" s="1" t="s">
        <v>271</v>
      </c>
      <c r="G77" s="12" t="s">
        <v>125</v>
      </c>
      <c r="H77" s="1" t="s">
        <v>272</v>
      </c>
      <c r="I77" s="1" t="s">
        <v>273</v>
      </c>
      <c r="J77" s="1"/>
    </row>
    <row r="78" customFormat="false" ht="14.5" hidden="true" customHeight="false" outlineLevel="0" collapsed="false">
      <c r="A78" s="11" t="n">
        <v>29</v>
      </c>
      <c r="B78" s="5" t="s">
        <v>47</v>
      </c>
      <c r="C78" s="5" t="s">
        <v>48</v>
      </c>
      <c r="D78" s="5" t="str">
        <f aca="false">IF(OR(LEFT(C78, 2)="SE", LEFT(C78, 2)="S4"), "C6", IF(LEFT(C78, 2)="S1", "C1", IF(OR(LEFT(C78, 2)="S2", LEFT(C78, 2)="S5"), "C3&amp;5", IF(LEFT(C78, 2)="S3", "C4", IF(LEFT(C78, 2)="SC", "C7", IF(LEFT(C78, 2)="S6", "C2", "Other"))))))</f>
        <v>C2</v>
      </c>
      <c r="E78" s="5" t="n">
        <v>1</v>
      </c>
      <c r="F78" s="5" t="s">
        <v>274</v>
      </c>
      <c r="G78" s="12" t="s">
        <v>125</v>
      </c>
      <c r="H78" s="5" t="s">
        <v>275</v>
      </c>
      <c r="I78" s="5" t="s">
        <v>276</v>
      </c>
      <c r="J78" s="5"/>
    </row>
    <row r="79" customFormat="false" ht="14.5" hidden="false" customHeight="false" outlineLevel="0" collapsed="false">
      <c r="A79" s="13" t="n">
        <v>29</v>
      </c>
      <c r="B79" s="1" t="s">
        <v>55</v>
      </c>
      <c r="C79" s="1" t="s">
        <v>1</v>
      </c>
      <c r="D79" s="1" t="str">
        <f aca="false">IF(OR(LEFT(C79, 2)="SE", LEFT(C79, 2)="S4"), "C6", IF(LEFT(C79, 2)="S1", "C1", IF(OR(LEFT(C79, 2)="S2", LEFT(C79, 2)="S5"), "C3&amp;5", IF(LEFT(C79, 2)="S3", "C4", IF(LEFT(C79, 2)="SC", "C7", IF(LEFT(C79, 2)="S6", "C2", "Other"))))))</f>
        <v>C7</v>
      </c>
      <c r="E79" s="1" t="n">
        <v>2</v>
      </c>
      <c r="F79" s="1" t="s">
        <v>271</v>
      </c>
      <c r="G79" s="12" t="s">
        <v>125</v>
      </c>
      <c r="H79" s="1" t="s">
        <v>277</v>
      </c>
      <c r="I79" s="1" t="s">
        <v>278</v>
      </c>
      <c r="J79" s="1"/>
    </row>
    <row r="80" customFormat="false" ht="14.5" hidden="true" customHeight="false" outlineLevel="0" collapsed="false">
      <c r="A80" s="11" t="n">
        <v>29</v>
      </c>
      <c r="B80" s="5" t="s">
        <v>71</v>
      </c>
      <c r="C80" s="5" t="s">
        <v>48</v>
      </c>
      <c r="D80" s="5" t="str">
        <f aca="false">IF(OR(LEFT(C80, 2)="SE", LEFT(C80, 2)="S4"), "C6", IF(LEFT(C80, 2)="S1", "C1", IF(OR(LEFT(C80, 2)="S2", LEFT(C80, 2)="S5"), "C3&amp;5", IF(LEFT(C80, 2)="S3", "C4", IF(LEFT(C80, 2)="SC", "C7", IF(LEFT(C80, 2)="S6", "C2", "Other"))))))</f>
        <v>C2</v>
      </c>
      <c r="E80" s="5" t="n">
        <v>3</v>
      </c>
      <c r="F80" s="5" t="s">
        <v>274</v>
      </c>
      <c r="G80" s="12" t="s">
        <v>125</v>
      </c>
      <c r="H80" s="5" t="s">
        <v>279</v>
      </c>
      <c r="I80" s="5" t="s">
        <v>280</v>
      </c>
      <c r="J80" s="5"/>
    </row>
    <row r="81" customFormat="false" ht="14.5" hidden="true" customHeight="false" outlineLevel="0" collapsed="false">
      <c r="A81" s="13" t="n">
        <v>29</v>
      </c>
      <c r="B81" s="1" t="s">
        <v>80</v>
      </c>
      <c r="C81" s="1" t="s">
        <v>96</v>
      </c>
      <c r="D81" s="1" t="str">
        <f aca="false">IF(OR(LEFT(C81, 2)="SE", LEFT(C81, 2)="S4"), "C6", IF(LEFT(C81, 2)="S1", "C1", IF(OR(LEFT(C81, 2)="S2", LEFT(C81, 2)="S5"), "C3&amp;5", IF(LEFT(C81, 2)="S3", "C4", IF(LEFT(C81, 2)="SC", "C7", IF(LEFT(C81, 2)="S6", "C2", "Other"))))))</f>
        <v>C2</v>
      </c>
      <c r="E81" s="1" t="n">
        <v>1</v>
      </c>
      <c r="F81" s="1" t="s">
        <v>281</v>
      </c>
      <c r="G81" s="12" t="s">
        <v>125</v>
      </c>
      <c r="H81" s="1" t="s">
        <v>282</v>
      </c>
      <c r="I81" s="1" t="s">
        <v>283</v>
      </c>
      <c r="J81" s="1"/>
    </row>
    <row r="82" customFormat="false" ht="14.5" hidden="true" customHeight="false" outlineLevel="0" collapsed="false">
      <c r="A82" s="11" t="n">
        <v>29</v>
      </c>
      <c r="B82" s="5" t="s">
        <v>91</v>
      </c>
      <c r="C82" s="5" t="s">
        <v>48</v>
      </c>
      <c r="D82" s="5" t="str">
        <f aca="false">IF(OR(LEFT(C82, 2)="SE", LEFT(C82, 2)="S4"), "C6", IF(LEFT(C82, 2)="S1", "C1", IF(OR(LEFT(C82, 2)="S2", LEFT(C82, 2)="S5"), "C3&amp;5", IF(LEFT(C82, 2)="S3", "C4", IF(LEFT(C82, 2)="SC", "C7", IF(LEFT(C82, 2)="S6", "C2", "Other"))))))</f>
        <v>C2</v>
      </c>
      <c r="E82" s="5" t="n">
        <v>1</v>
      </c>
      <c r="F82" s="5" t="s">
        <v>271</v>
      </c>
      <c r="G82" s="12" t="s">
        <v>125</v>
      </c>
      <c r="H82" s="5" t="s">
        <v>284</v>
      </c>
      <c r="I82" s="5" t="s">
        <v>285</v>
      </c>
      <c r="J82" s="5"/>
    </row>
    <row r="83" customFormat="false" ht="14.5" hidden="true" customHeight="false" outlineLevel="0" collapsed="false">
      <c r="A83" s="13" t="n">
        <v>29</v>
      </c>
      <c r="B83" s="1" t="s">
        <v>95</v>
      </c>
      <c r="C83" s="1" t="s">
        <v>48</v>
      </c>
      <c r="D83" s="1" t="str">
        <f aca="false">IF(OR(LEFT(C83, 2)="SE", LEFT(C83, 2)="S4"), "C6", IF(LEFT(C83, 2)="S1", "C1", IF(OR(LEFT(C83, 2)="S2", LEFT(C83, 2)="S5"), "C3&amp;5", IF(LEFT(C83, 2)="S3", "C4", IF(LEFT(C83, 2)="SC", "C7", IF(LEFT(C83, 2)="S6", "C2", "Other"))))))</f>
        <v>C2</v>
      </c>
      <c r="E83" s="1" t="n">
        <v>1</v>
      </c>
      <c r="F83" s="1" t="s">
        <v>271</v>
      </c>
      <c r="G83" s="12" t="s">
        <v>125</v>
      </c>
      <c r="H83" s="1" t="s">
        <v>286</v>
      </c>
      <c r="I83" s="1" t="s">
        <v>287</v>
      </c>
      <c r="J83" s="1"/>
    </row>
    <row r="84" customFormat="false" ht="14.5" hidden="true" customHeight="false" outlineLevel="0" collapsed="false">
      <c r="A84" s="11" t="n">
        <v>30</v>
      </c>
      <c r="B84" s="5" t="s">
        <v>123</v>
      </c>
      <c r="C84" s="5" t="s">
        <v>96</v>
      </c>
      <c r="D84" s="5" t="str">
        <f aca="false">IF(OR(LEFT(C84, 2)="SE", LEFT(C84, 2)="S4"), "C6", IF(LEFT(C84, 2)="S1", "C1", IF(OR(LEFT(C84, 2)="S2", LEFT(C84, 2)="S5"), "C3&amp;5", IF(LEFT(C84, 2)="S3", "C4", IF(LEFT(C84, 2)="SC", "C7", IF(LEFT(C84, 2)="S6", "C2", "Other"))))))</f>
        <v>C2</v>
      </c>
      <c r="E84" s="5" t="n">
        <v>1</v>
      </c>
      <c r="F84" s="5" t="s">
        <v>176</v>
      </c>
      <c r="G84" s="12" t="s">
        <v>125</v>
      </c>
      <c r="H84" s="5" t="s">
        <v>288</v>
      </c>
      <c r="I84" s="5" t="s">
        <v>289</v>
      </c>
      <c r="J84" s="5"/>
    </row>
    <row r="85" customFormat="false" ht="14.5" hidden="false" customHeight="false" outlineLevel="0" collapsed="false">
      <c r="A85" s="13" t="n">
        <v>30</v>
      </c>
      <c r="B85" s="1" t="s">
        <v>42</v>
      </c>
      <c r="C85" s="1" t="s">
        <v>1</v>
      </c>
      <c r="D85" s="1" t="str">
        <f aca="false">IF(OR(LEFT(C85, 2)="SE", LEFT(C85, 2)="S4"), "C6", IF(LEFT(C85, 2)="S1", "C1", IF(OR(LEFT(C85, 2)="S2", LEFT(C85, 2)="S5"), "C3&amp;5", IF(LEFT(C85, 2)="S3", "C4", IF(LEFT(C85, 2)="SC", "C7", IF(LEFT(C85, 2)="S6", "C2", "Other"))))))</f>
        <v>C7</v>
      </c>
      <c r="E85" s="1" t="n">
        <v>3</v>
      </c>
      <c r="F85" s="1" t="s">
        <v>176</v>
      </c>
      <c r="G85" s="12" t="s">
        <v>125</v>
      </c>
      <c r="H85" s="1" t="s">
        <v>290</v>
      </c>
      <c r="I85" s="1" t="s">
        <v>291</v>
      </c>
      <c r="J85" s="1"/>
    </row>
    <row r="86" customFormat="false" ht="14.5" hidden="true" customHeight="false" outlineLevel="0" collapsed="false">
      <c r="A86" s="11" t="n">
        <v>30</v>
      </c>
      <c r="B86" s="5" t="s">
        <v>55</v>
      </c>
      <c r="C86" s="5" t="s">
        <v>48</v>
      </c>
      <c r="D86" s="5" t="str">
        <f aca="false">IF(OR(LEFT(C86, 2)="SE", LEFT(C86, 2)="S4"), "C6", IF(LEFT(C86, 2)="S1", "C1", IF(OR(LEFT(C86, 2)="S2", LEFT(C86, 2)="S5"), "C3&amp;5", IF(LEFT(C86, 2)="S3", "C4", IF(LEFT(C86, 2)="SC", "C7", IF(LEFT(C86, 2)="S6", "C2", "Other"))))))</f>
        <v>C2</v>
      </c>
      <c r="E86" s="5" t="n">
        <v>1</v>
      </c>
      <c r="F86" s="5" t="s">
        <v>104</v>
      </c>
      <c r="G86" s="12" t="s">
        <v>34</v>
      </c>
      <c r="H86" s="5" t="s">
        <v>292</v>
      </c>
      <c r="I86" s="5" t="s">
        <v>293</v>
      </c>
      <c r="J86" s="5"/>
    </row>
    <row r="87" customFormat="false" ht="14.5" hidden="true" customHeight="false" outlineLevel="0" collapsed="false">
      <c r="A87" s="13" t="n">
        <v>30</v>
      </c>
      <c r="B87" s="1" t="s">
        <v>71</v>
      </c>
      <c r="C87" s="1" t="s">
        <v>48</v>
      </c>
      <c r="D87" s="1" t="str">
        <f aca="false">IF(OR(LEFT(C87, 2)="SE", LEFT(C87, 2)="S4"), "C6", IF(LEFT(C87, 2)="S1", "C1", IF(OR(LEFT(C87, 2)="S2", LEFT(C87, 2)="S5"), "C3&amp;5", IF(LEFT(C87, 2)="S3", "C4", IF(LEFT(C87, 2)="SC", "C7", IF(LEFT(C87, 2)="S6", "C2", "Other"))))))</f>
        <v>C2</v>
      </c>
      <c r="E87" s="1" t="n">
        <v>3</v>
      </c>
      <c r="F87" s="1" t="s">
        <v>104</v>
      </c>
      <c r="G87" s="12" t="s">
        <v>34</v>
      </c>
      <c r="H87" s="1" t="s">
        <v>294</v>
      </c>
      <c r="I87" s="1" t="s">
        <v>295</v>
      </c>
      <c r="J87" s="1"/>
    </row>
    <row r="88" customFormat="false" ht="14.5" hidden="true" customHeight="false" outlineLevel="0" collapsed="false">
      <c r="A88" s="11" t="n">
        <v>31</v>
      </c>
      <c r="B88" s="5" t="s">
        <v>123</v>
      </c>
      <c r="C88" s="5" t="s">
        <v>48</v>
      </c>
      <c r="D88" s="5" t="str">
        <f aca="false">IF(OR(LEFT(C88, 2)="SE", LEFT(C88, 2)="S4"), "C6", IF(LEFT(C88, 2)="S1", "C1", IF(OR(LEFT(C88, 2)="S2", LEFT(C88, 2)="S5"), "C3&amp;5", IF(LEFT(C88, 2)="S3", "C4", IF(LEFT(C88, 2)="SC", "C7", IF(LEFT(C88, 2)="S6", "C2", "Other"))))))</f>
        <v>C2</v>
      </c>
      <c r="E88" s="5" t="n">
        <v>2</v>
      </c>
      <c r="F88" s="5" t="s">
        <v>296</v>
      </c>
      <c r="G88" s="12" t="s">
        <v>125</v>
      </c>
      <c r="H88" s="5" t="s">
        <v>297</v>
      </c>
      <c r="I88" s="5" t="s">
        <v>298</v>
      </c>
      <c r="J88" s="5"/>
    </row>
    <row r="89" customFormat="false" ht="14.5" hidden="true" customHeight="false" outlineLevel="0" collapsed="false">
      <c r="A89" s="1" t="n">
        <v>32</v>
      </c>
      <c r="B89" s="1" t="s">
        <v>123</v>
      </c>
      <c r="C89" s="1" t="s">
        <v>96</v>
      </c>
      <c r="D89" s="1" t="str">
        <f aca="false">IF(OR(LEFT(C89, 2)="SE", LEFT(C89, 2)="S4"), "C6", IF(LEFT(C89, 2)="S1", "C1", IF(OR(LEFT(C89, 2)="S2", LEFT(C89, 2)="S5"), "C3&amp;5", IF(LEFT(C89, 2)="S3", "C4", IF(LEFT(C89, 2)="SC", "C7", IF(LEFT(C89, 2)="S6", "C2", "Other"))))))</f>
        <v>C2</v>
      </c>
      <c r="E89" s="1" t="n">
        <v>2</v>
      </c>
      <c r="F89" s="1" t="s">
        <v>180</v>
      </c>
      <c r="G89" s="12" t="s">
        <v>77</v>
      </c>
      <c r="H89" s="1" t="s">
        <v>299</v>
      </c>
      <c r="I89" s="1" t="s">
        <v>300</v>
      </c>
      <c r="J89" s="1"/>
    </row>
    <row r="90" customFormat="false" ht="14.5" hidden="true" customHeight="false" outlineLevel="0" collapsed="false">
      <c r="A90" s="5" t="n">
        <v>32</v>
      </c>
      <c r="B90" s="5" t="s">
        <v>31</v>
      </c>
      <c r="C90" s="5" t="s">
        <v>65</v>
      </c>
      <c r="D90" s="5" t="str">
        <f aca="false">IF(OR(LEFT(C90, 2)="SE", LEFT(C90, 2)="S4"), "C6", IF(LEFT(C90, 2)="S1", "C1", IF(OR(LEFT(C90, 2)="S2", LEFT(C90, 2)="S5"), "C3&amp;5", IF(LEFT(C90, 2)="S3", "C4", IF(LEFT(C90, 2)="SC", "C7", IF(LEFT(C90, 2)="S6", "C2", "Other"))))))</f>
        <v>C6</v>
      </c>
      <c r="E90" s="5" t="n">
        <v>1</v>
      </c>
      <c r="F90" s="15" t="s">
        <v>183</v>
      </c>
      <c r="G90" s="12" t="s">
        <v>77</v>
      </c>
      <c r="H90" s="5" t="s">
        <v>301</v>
      </c>
      <c r="I90" s="5" t="s">
        <v>302</v>
      </c>
      <c r="J90" s="5"/>
    </row>
    <row r="91" customFormat="false" ht="14.5" hidden="true" customHeight="false" outlineLevel="0" collapsed="false">
      <c r="A91" s="13" t="n">
        <v>34</v>
      </c>
      <c r="B91" s="1" t="s">
        <v>123</v>
      </c>
      <c r="C91" s="1" t="s">
        <v>48</v>
      </c>
      <c r="D91" s="1" t="str">
        <f aca="false">IF(OR(LEFT(C91, 2)="SE", LEFT(C91, 2)="S4"), "C6", IF(LEFT(C91, 2)="S1", "C1", IF(OR(LEFT(C91, 2)="S2", LEFT(C91, 2)="S5"), "C3&amp;5", IF(LEFT(C91, 2)="S3", "C4", IF(LEFT(C91, 2)="SC", "C7", IF(LEFT(C91, 2)="S6", "C2", "Other"))))))</f>
        <v>C2</v>
      </c>
      <c r="E91" s="1" t="n">
        <v>2</v>
      </c>
      <c r="F91" s="1" t="s">
        <v>303</v>
      </c>
      <c r="G91" s="12" t="s">
        <v>125</v>
      </c>
      <c r="H91" s="1" t="s">
        <v>304</v>
      </c>
      <c r="I91" s="1" t="s">
        <v>305</v>
      </c>
      <c r="J91" s="1"/>
    </row>
    <row r="92" customFormat="false" ht="14.5" hidden="false" customHeight="false" outlineLevel="0" collapsed="false">
      <c r="A92" s="17" t="n">
        <v>35</v>
      </c>
      <c r="B92" s="18" t="s">
        <v>31</v>
      </c>
      <c r="C92" s="18" t="s">
        <v>1</v>
      </c>
      <c r="D92" s="18" t="str">
        <f aca="false">IF(OR(LEFT(C92, 2)="SE", LEFT(C92, 2)="S4"), "C6", IF(LEFT(C92, 2)="S1", "C1", IF(OR(LEFT(C92, 2)="S2", LEFT(C92, 2)="S5"), "C3&amp;5", IF(LEFT(C92, 2)="S3", "C4", IF(LEFT(C92, 2)="SC", "C7", IF(LEFT(C92, 2)="S6", "C2", "Other"))))))</f>
        <v>C7</v>
      </c>
      <c r="E92" s="18" t="n">
        <v>5</v>
      </c>
      <c r="F92" s="18" t="s">
        <v>306</v>
      </c>
      <c r="G92" s="12" t="s">
        <v>34</v>
      </c>
      <c r="H92" s="18" t="s">
        <v>307</v>
      </c>
      <c r="I92" s="18" t="s">
        <v>308</v>
      </c>
      <c r="J92" s="18"/>
    </row>
    <row r="93" customFormat="false" ht="14.5" hidden="true" customHeight="false" outlineLevel="0" collapsed="false">
      <c r="A93" s="16" t="n">
        <v>35</v>
      </c>
      <c r="B93" s="1" t="s">
        <v>37</v>
      </c>
      <c r="C93" s="1" t="s">
        <v>56</v>
      </c>
      <c r="D93" s="1" t="str">
        <f aca="false">IF(OR(LEFT(C93, 2)="SE", LEFT(C93, 2)="S4"), "C6", IF(LEFT(C93, 2)="S1", "C1", IF(OR(LEFT(C93, 2)="S2", LEFT(C93, 2)="S5"), "C3&amp;5", IF(LEFT(C93, 2)="S3", "C4", IF(LEFT(C93, 2)="SC", "C7", IF(LEFT(C93, 2)="S6", "C2", "Other"))))))</f>
        <v>C4</v>
      </c>
      <c r="E93" s="1" t="n">
        <v>5</v>
      </c>
      <c r="F93" s="1" t="s">
        <v>306</v>
      </c>
      <c r="G93" s="12" t="s">
        <v>34</v>
      </c>
      <c r="H93" s="1" t="s">
        <v>309</v>
      </c>
      <c r="I93" s="1" t="s">
        <v>310</v>
      </c>
      <c r="J93" s="1"/>
    </row>
    <row r="94" customFormat="false" ht="14.5" hidden="false" customHeight="false" outlineLevel="0" collapsed="false">
      <c r="A94" s="11" t="n">
        <v>35</v>
      </c>
      <c r="B94" s="5" t="s">
        <v>51</v>
      </c>
      <c r="C94" s="5" t="s">
        <v>1</v>
      </c>
      <c r="D94" s="5" t="str">
        <f aca="false">IF(OR(LEFT(C94, 2)="SE", LEFT(C94, 2)="S4"), "C6", IF(LEFT(C94, 2)="S1", "C1", IF(OR(LEFT(C94, 2)="S2", LEFT(C94, 2)="S5"), "C3&amp;5", IF(LEFT(C94, 2)="S3", "C4", IF(LEFT(C94, 2)="SC", "C7", IF(LEFT(C94, 2)="S6", "C2", "Other"))))))</f>
        <v>C7</v>
      </c>
      <c r="E94" s="5" t="n">
        <v>1</v>
      </c>
      <c r="F94" s="5" t="s">
        <v>311</v>
      </c>
      <c r="G94" s="12" t="s">
        <v>34</v>
      </c>
      <c r="H94" s="5" t="s">
        <v>312</v>
      </c>
      <c r="I94" s="5" t="s">
        <v>313</v>
      </c>
      <c r="J94" s="5"/>
    </row>
    <row r="95" customFormat="false" ht="14.5" hidden="false" customHeight="false" outlineLevel="0" collapsed="false">
      <c r="A95" s="13" t="n">
        <v>35</v>
      </c>
      <c r="B95" s="1" t="s">
        <v>55</v>
      </c>
      <c r="C95" s="1" t="s">
        <v>1</v>
      </c>
      <c r="D95" s="1" t="str">
        <f aca="false">IF(OR(LEFT(C95, 2)="SE", LEFT(C95, 2)="S4"), "C6", IF(LEFT(C95, 2)="S1", "C1", IF(OR(LEFT(C95, 2)="S2", LEFT(C95, 2)="S5"), "C3&amp;5", IF(LEFT(C95, 2)="S3", "C4", IF(LEFT(C95, 2)="SC", "C7", IF(LEFT(C95, 2)="S6", "C2", "Other"))))))</f>
        <v>C7</v>
      </c>
      <c r="E95" s="1" t="n">
        <v>1</v>
      </c>
      <c r="F95" s="1" t="s">
        <v>311</v>
      </c>
      <c r="G95" s="12" t="s">
        <v>34</v>
      </c>
      <c r="H95" s="1" t="s">
        <v>314</v>
      </c>
      <c r="I95" s="1" t="s">
        <v>315</v>
      </c>
      <c r="J95" s="1"/>
    </row>
    <row r="96" customFormat="false" ht="14.5" hidden="true" customHeight="false" outlineLevel="0" collapsed="false">
      <c r="A96" s="11" t="n">
        <v>35</v>
      </c>
      <c r="B96" s="5" t="s">
        <v>71</v>
      </c>
      <c r="C96" s="5" t="s">
        <v>48</v>
      </c>
      <c r="D96" s="5" t="str">
        <f aca="false">IF(OR(LEFT(C96, 2)="SE", LEFT(C96, 2)="S4"), "C6", IF(LEFT(C96, 2)="S1", "C1", IF(OR(LEFT(C96, 2)="S2", LEFT(C96, 2)="S5"), "C3&amp;5", IF(LEFT(C96, 2)="S3", "C4", IF(LEFT(C96, 2)="SC", "C7", IF(LEFT(C96, 2)="S6", "C2", "Other"))))))</f>
        <v>C2</v>
      </c>
      <c r="E96" s="5" t="n">
        <v>1</v>
      </c>
      <c r="F96" s="5" t="s">
        <v>316</v>
      </c>
      <c r="G96" s="12" t="s">
        <v>77</v>
      </c>
      <c r="H96" s="5" t="s">
        <v>317</v>
      </c>
      <c r="I96" s="5" t="s">
        <v>318</v>
      </c>
      <c r="J96" s="5"/>
    </row>
    <row r="97" customFormat="false" ht="14.5" hidden="true" customHeight="false" outlineLevel="0" collapsed="false">
      <c r="A97" s="13" t="n">
        <v>35</v>
      </c>
      <c r="B97" s="1" t="s">
        <v>74</v>
      </c>
      <c r="C97" s="1" t="s">
        <v>96</v>
      </c>
      <c r="D97" s="1" t="str">
        <f aca="false">IF(OR(LEFT(C97, 2)="SE", LEFT(C97, 2)="S4"), "C6", IF(LEFT(C97, 2)="S1", "C1", IF(OR(LEFT(C97, 2)="S2", LEFT(C97, 2)="S5"), "C3&amp;5", IF(LEFT(C97, 2)="S3", "C4", IF(LEFT(C97, 2)="SC", "C7", IF(LEFT(C97, 2)="S6", "C2", "Other"))))))</f>
        <v>C2</v>
      </c>
      <c r="E97" s="1" t="n">
        <v>1</v>
      </c>
      <c r="F97" s="1" t="s">
        <v>316</v>
      </c>
      <c r="G97" s="12" t="s">
        <v>77</v>
      </c>
      <c r="H97" s="1" t="s">
        <v>319</v>
      </c>
      <c r="I97" s="1" t="s">
        <v>320</v>
      </c>
      <c r="J97" s="1"/>
    </row>
    <row r="98" customFormat="false" ht="14.5" hidden="true" customHeight="false" outlineLevel="0" collapsed="false">
      <c r="A98" s="11" t="n">
        <v>35</v>
      </c>
      <c r="B98" s="5" t="s">
        <v>80</v>
      </c>
      <c r="C98" s="5" t="s">
        <v>48</v>
      </c>
      <c r="D98" s="5" t="str">
        <f aca="false">IF(OR(LEFT(C98, 2)="SE", LEFT(C98, 2)="S4"), "C6", IF(LEFT(C98, 2)="S1", "C1", IF(OR(LEFT(C98, 2)="S2", LEFT(C98, 2)="S5"), "C3&amp;5", IF(LEFT(C98, 2)="S3", "C4", IF(LEFT(C98, 2)="SC", "C7", IF(LEFT(C98, 2)="S6", "C2", "Other"))))))</f>
        <v>C2</v>
      </c>
      <c r="E98" s="5" t="n">
        <v>1</v>
      </c>
      <c r="F98" s="5" t="s">
        <v>316</v>
      </c>
      <c r="G98" s="12" t="s">
        <v>77</v>
      </c>
      <c r="H98" s="5" t="s">
        <v>321</v>
      </c>
      <c r="I98" s="5" t="s">
        <v>322</v>
      </c>
      <c r="J98" s="5"/>
    </row>
    <row r="99" customFormat="false" ht="14.5" hidden="true" customHeight="false" outlineLevel="0" collapsed="false">
      <c r="A99" s="13" t="n">
        <v>35</v>
      </c>
      <c r="B99" s="1" t="s">
        <v>85</v>
      </c>
      <c r="C99" s="1" t="s">
        <v>179</v>
      </c>
      <c r="D99" s="1" t="str">
        <f aca="false">IF(OR(LEFT(C99, 2)="SE", LEFT(C99, 2)="S4"), "C6", IF(LEFT(C99, 2)="S1", "C1", IF(OR(LEFT(C99, 2)="S2", LEFT(C99, 2)="S5"), "C3&amp;5", IF(LEFT(C99, 2)="S3", "C4", IF(LEFT(C99, 2)="SC", "C7", IF(LEFT(C99, 2)="S6", "C2", "Other"))))))</f>
        <v>C2</v>
      </c>
      <c r="E99" s="1" t="n">
        <v>1</v>
      </c>
      <c r="F99" s="1" t="s">
        <v>316</v>
      </c>
      <c r="G99" s="12" t="s">
        <v>77</v>
      </c>
      <c r="H99" s="1" t="s">
        <v>323</v>
      </c>
      <c r="I99" s="1" t="s">
        <v>324</v>
      </c>
      <c r="J99" s="1"/>
    </row>
    <row r="100" customFormat="false" ht="14.5" hidden="false" customHeight="false" outlineLevel="0" collapsed="false">
      <c r="A100" s="11" t="n">
        <v>35</v>
      </c>
      <c r="B100" s="5" t="s">
        <v>99</v>
      </c>
      <c r="C100" s="5" t="s">
        <v>1</v>
      </c>
      <c r="D100" s="5" t="str">
        <f aca="false">IF(OR(LEFT(C100, 2)="SE", LEFT(C100, 2)="S4"), "C6", IF(LEFT(C100, 2)="S1", "C1", IF(OR(LEFT(C100, 2)="S2", LEFT(C100, 2)="S5"), "C3&amp;5", IF(LEFT(C100, 2)="S3", "C4", IF(LEFT(C100, 2)="SC", "C7", IF(LEFT(C100, 2)="S6", "C2", "Other"))))))</f>
        <v>C7</v>
      </c>
      <c r="E100" s="5" t="n">
        <v>1</v>
      </c>
      <c r="F100" s="5" t="s">
        <v>325</v>
      </c>
      <c r="G100" s="12" t="s">
        <v>34</v>
      </c>
      <c r="H100" s="5" t="s">
        <v>326</v>
      </c>
      <c r="I100" s="5" t="s">
        <v>327</v>
      </c>
      <c r="J100" s="5" t="s">
        <v>328</v>
      </c>
    </row>
    <row r="101" customFormat="false" ht="14.5" hidden="true" customHeight="false" outlineLevel="0" collapsed="false">
      <c r="A101" s="16" t="n">
        <v>36</v>
      </c>
      <c r="B101" s="1" t="s">
        <v>31</v>
      </c>
      <c r="C101" s="1" t="s">
        <v>56</v>
      </c>
      <c r="D101" s="1" t="str">
        <f aca="false">IF(OR(LEFT(C101, 2)="SE", LEFT(C101, 2)="S4"), "C6", IF(LEFT(C101, 2)="S1", "C1", IF(OR(LEFT(C101, 2)="S2", LEFT(C101, 2)="S5"), "C3&amp;5", IF(LEFT(C101, 2)="S3", "C4", IF(LEFT(C101, 2)="SC", "C7", IF(LEFT(C101, 2)="S6", "C2", "Other"))))))</f>
        <v>C4</v>
      </c>
      <c r="E101" s="1" t="n">
        <v>1</v>
      </c>
      <c r="F101" s="1" t="s">
        <v>329</v>
      </c>
      <c r="G101" s="12" t="s">
        <v>34</v>
      </c>
      <c r="H101" s="1" t="s">
        <v>330</v>
      </c>
      <c r="I101" s="1" t="s">
        <v>331</v>
      </c>
      <c r="J101" s="1"/>
    </row>
    <row r="102" customFormat="false" ht="14.5" hidden="false" customHeight="false" outlineLevel="0" collapsed="false">
      <c r="A102" s="11" t="n">
        <v>37</v>
      </c>
      <c r="B102" s="5" t="s">
        <v>123</v>
      </c>
      <c r="C102" s="5" t="s">
        <v>1</v>
      </c>
      <c r="D102" s="5" t="str">
        <f aca="false">IF(OR(LEFT(C102, 2)="SE", LEFT(C102, 2)="S4"), "C6", IF(LEFT(C102, 2)="S1", "C1", IF(OR(LEFT(C102, 2)="S2", LEFT(C102, 2)="S5"), "C3&amp;5", IF(LEFT(C102, 2)="S3", "C4", IF(LEFT(C102, 2)="SC", "C7", IF(LEFT(C102, 2)="S6", "C2", "Other"))))))</f>
        <v>C7</v>
      </c>
      <c r="E102" s="5" t="n">
        <v>1</v>
      </c>
      <c r="F102" s="5" t="s">
        <v>332</v>
      </c>
      <c r="G102" s="12" t="s">
        <v>125</v>
      </c>
      <c r="H102" s="5" t="s">
        <v>333</v>
      </c>
      <c r="I102" s="5" t="s">
        <v>334</v>
      </c>
      <c r="J102" s="5"/>
    </row>
    <row r="103" customFormat="false" ht="14.5" hidden="false" customHeight="false" outlineLevel="0" collapsed="false">
      <c r="A103" s="13" t="n">
        <v>38</v>
      </c>
      <c r="B103" s="1" t="s">
        <v>31</v>
      </c>
      <c r="C103" s="1" t="s">
        <v>1</v>
      </c>
      <c r="D103" s="1" t="str">
        <f aca="false">IF(OR(LEFT(C103, 2)="SE", LEFT(C103, 2)="S4"), "C6", IF(LEFT(C103, 2)="S1", "C1", IF(OR(LEFT(C103, 2)="S2", LEFT(C103, 2)="S5"), "C3&amp;5", IF(LEFT(C103, 2)="S3", "C4", IF(LEFT(C103, 2)="SC", "C7", IF(LEFT(C103, 2)="S6", "C2", "Other"))))))</f>
        <v>C7</v>
      </c>
      <c r="E103" s="1" t="n">
        <v>2</v>
      </c>
      <c r="F103" s="1" t="s">
        <v>335</v>
      </c>
      <c r="G103" s="12" t="s">
        <v>34</v>
      </c>
      <c r="H103" s="1" t="s">
        <v>336</v>
      </c>
      <c r="I103" s="1" t="s">
        <v>337</v>
      </c>
      <c r="J103" s="1"/>
    </row>
    <row r="104" customFormat="false" ht="14.5" hidden="true" customHeight="false" outlineLevel="0" collapsed="false">
      <c r="A104" s="11" t="n">
        <v>38</v>
      </c>
      <c r="B104" s="5" t="s">
        <v>37</v>
      </c>
      <c r="C104" s="5" t="s">
        <v>225</v>
      </c>
      <c r="D104" s="5" t="str">
        <f aca="false">IF(OR(LEFT(C104, 2)="SE", LEFT(C104, 2)="S4"), "C6", IF(LEFT(C104, 2)="S1", "C1", IF(OR(LEFT(C104, 2)="S2", LEFT(C104, 2)="S5"), "C3&amp;5", IF(LEFT(C104, 2)="S3", "C4", IF(LEFT(C104, 2)="SC", "C7", IF(LEFT(C104, 2)="S6", "C2", "Other"))))))</f>
        <v>C3&amp;5</v>
      </c>
      <c r="E104" s="5" t="n">
        <v>2</v>
      </c>
      <c r="F104" s="5" t="s">
        <v>335</v>
      </c>
      <c r="G104" s="12" t="s">
        <v>34</v>
      </c>
      <c r="H104" s="5" t="s">
        <v>338</v>
      </c>
      <c r="I104" s="5" t="s">
        <v>339</v>
      </c>
      <c r="J104" s="5"/>
    </row>
    <row r="105" customFormat="false" ht="14.5" hidden="false" customHeight="false" outlineLevel="0" collapsed="false">
      <c r="A105" s="13" t="n">
        <v>38</v>
      </c>
      <c r="B105" s="1" t="s">
        <v>42</v>
      </c>
      <c r="C105" s="1" t="s">
        <v>1</v>
      </c>
      <c r="D105" s="1" t="str">
        <f aca="false">IF(OR(LEFT(C105, 2)="SE", LEFT(C105, 2)="S4"), "C6", IF(LEFT(C105, 2)="S1", "C1", IF(OR(LEFT(C105, 2)="S2", LEFT(C105, 2)="S5"), "C3&amp;5", IF(LEFT(C105, 2)="S3", "C4", IF(LEFT(C105, 2)="SC", "C7", IF(LEFT(C105, 2)="S6", "C2", "Other"))))))</f>
        <v>C7</v>
      </c>
      <c r="E105" s="1" t="n">
        <v>1</v>
      </c>
      <c r="F105" s="1" t="s">
        <v>335</v>
      </c>
      <c r="G105" s="12" t="s">
        <v>34</v>
      </c>
      <c r="H105" s="1" t="s">
        <v>340</v>
      </c>
      <c r="I105" s="1" t="s">
        <v>341</v>
      </c>
      <c r="J105" s="1"/>
    </row>
    <row r="106" customFormat="false" ht="14.5" hidden="true" customHeight="false" outlineLevel="0" collapsed="false">
      <c r="A106" s="11" t="n">
        <v>39</v>
      </c>
      <c r="B106" s="5" t="s">
        <v>31</v>
      </c>
      <c r="C106" s="5" t="s">
        <v>48</v>
      </c>
      <c r="D106" s="5" t="str">
        <f aca="false">IF(OR(LEFT(C106, 2)="SE", LEFT(C106, 2)="S4"), "C6", IF(LEFT(C106, 2)="S1", "C1", IF(OR(LEFT(C106, 2)="S2", LEFT(C106, 2)="S5"), "C3&amp;5", IF(LEFT(C106, 2)="S3", "C4", IF(LEFT(C106, 2)="SC", "C7", IF(LEFT(C106, 2)="S6", "C2", "Other"))))))</f>
        <v>C2</v>
      </c>
      <c r="E106" s="5" t="n">
        <v>2</v>
      </c>
      <c r="F106" s="5" t="s">
        <v>342</v>
      </c>
      <c r="G106" s="12" t="s">
        <v>125</v>
      </c>
      <c r="H106" s="5" t="s">
        <v>343</v>
      </c>
      <c r="I106" s="5" t="s">
        <v>344</v>
      </c>
      <c r="J106" s="5"/>
    </row>
    <row r="107" customFormat="false" ht="14.5" hidden="true" customHeight="false" outlineLevel="0" collapsed="false">
      <c r="A107" s="13" t="n">
        <v>39</v>
      </c>
      <c r="B107" s="1" t="s">
        <v>37</v>
      </c>
      <c r="C107" s="1" t="s">
        <v>32</v>
      </c>
      <c r="D107" s="1" t="str">
        <f aca="false">IF(OR(LEFT(C107, 2)="SE", LEFT(C107, 2)="S4"), "C6", IF(LEFT(C107, 2)="S1", "C1", IF(OR(LEFT(C107, 2)="S2", LEFT(C107, 2)="S5"), "C3&amp;5", IF(LEFT(C107, 2)="S3", "C4", IF(LEFT(C107, 2)="SC", "C7", IF(LEFT(C107, 2)="S6", "C2", "Other"))))))</f>
        <v>C6</v>
      </c>
      <c r="E107" s="1" t="n">
        <v>1</v>
      </c>
      <c r="F107" s="1" t="s">
        <v>345</v>
      </c>
      <c r="G107" s="12" t="s">
        <v>34</v>
      </c>
      <c r="H107" s="1" t="s">
        <v>346</v>
      </c>
      <c r="I107" s="1" t="s">
        <v>347</v>
      </c>
      <c r="J107" s="1"/>
    </row>
    <row r="108" customFormat="false" ht="14.5" hidden="false" customHeight="false" outlineLevel="0" collapsed="false">
      <c r="A108" s="11" t="n">
        <v>41</v>
      </c>
      <c r="B108" s="5" t="s">
        <v>123</v>
      </c>
      <c r="C108" s="5" t="s">
        <v>1</v>
      </c>
      <c r="D108" s="5" t="str">
        <f aca="false">IF(OR(LEFT(C108, 2)="SE", LEFT(C108, 2)="S4"), "C6", IF(LEFT(C108, 2)="S1", "C1", IF(OR(LEFT(C108, 2)="S2", LEFT(C108, 2)="S5"), "C3&amp;5", IF(LEFT(C108, 2)="S3", "C4", IF(LEFT(C108, 2)="SC", "C7", IF(LEFT(C108, 2)="S6", "C2", "Other"))))))</f>
        <v>C7</v>
      </c>
      <c r="E108" s="5" t="n">
        <v>1</v>
      </c>
      <c r="F108" s="5" t="s">
        <v>348</v>
      </c>
      <c r="G108" s="12" t="s">
        <v>34</v>
      </c>
      <c r="H108" s="5" t="s">
        <v>349</v>
      </c>
      <c r="I108" s="5" t="s">
        <v>350</v>
      </c>
      <c r="J108" s="5"/>
    </row>
    <row r="109" customFormat="false" ht="14.5" hidden="true" customHeight="false" outlineLevel="0" collapsed="false">
      <c r="A109" s="13" t="n">
        <v>42</v>
      </c>
      <c r="B109" s="1" t="s">
        <v>123</v>
      </c>
      <c r="C109" s="1" t="s">
        <v>96</v>
      </c>
      <c r="D109" s="1" t="str">
        <f aca="false">IF(OR(LEFT(C109, 2)="SE", LEFT(C109, 2)="S4"), "C6", IF(LEFT(C109, 2)="S1", "C1", IF(OR(LEFT(C109, 2)="S2", LEFT(C109, 2)="S5"), "C3&amp;5", IF(LEFT(C109, 2)="S3", "C4", IF(LEFT(C109, 2)="SC", "C7", IF(LEFT(C109, 2)="S6", "C2", "Other"))))))</f>
        <v>C2</v>
      </c>
      <c r="E109" s="1" t="n">
        <v>2</v>
      </c>
      <c r="F109" s="1" t="s">
        <v>351</v>
      </c>
      <c r="G109" s="12" t="s">
        <v>34</v>
      </c>
      <c r="H109" s="1" t="s">
        <v>352</v>
      </c>
      <c r="I109" s="1" t="s">
        <v>353</v>
      </c>
      <c r="J109" s="1"/>
    </row>
    <row r="110" customFormat="false" ht="14.5" hidden="false" customHeight="false" outlineLevel="0" collapsed="false">
      <c r="A110" s="11" t="n">
        <v>42</v>
      </c>
      <c r="B110" s="5" t="s">
        <v>31</v>
      </c>
      <c r="C110" s="5" t="s">
        <v>1</v>
      </c>
      <c r="D110" s="5" t="str">
        <f aca="false">IF(OR(LEFT(C110, 2)="SE", LEFT(C110, 2)="S4"), "C6", IF(LEFT(C110, 2)="S1", "C1", IF(OR(LEFT(C110, 2)="S2", LEFT(C110, 2)="S5"), "C3&amp;5", IF(LEFT(C110, 2)="S3", "C4", IF(LEFT(C110, 2)="SC", "C7", IF(LEFT(C110, 2)="S6", "C2", "Other"))))))</f>
        <v>C7</v>
      </c>
      <c r="E110" s="5" t="n">
        <v>1</v>
      </c>
      <c r="F110" s="5" t="s">
        <v>354</v>
      </c>
      <c r="G110" s="12" t="s">
        <v>34</v>
      </c>
      <c r="H110" s="5" t="s">
        <v>355</v>
      </c>
      <c r="I110" s="5" t="s">
        <v>356</v>
      </c>
      <c r="J110" s="5"/>
    </row>
    <row r="111" customFormat="false" ht="14.5" hidden="true" customHeight="false" outlineLevel="0" collapsed="false">
      <c r="A111" s="13" t="n">
        <v>42</v>
      </c>
      <c r="B111" s="1" t="s">
        <v>42</v>
      </c>
      <c r="C111" s="1" t="s">
        <v>81</v>
      </c>
      <c r="D111" s="1" t="str">
        <f aca="false">IF(OR(LEFT(C111, 2)="SE", LEFT(C111, 2)="S4"), "C6", IF(LEFT(C111, 2)="S1", "C1", IF(OR(LEFT(C111, 2)="S2", LEFT(C111, 2)="S5"), "C3&amp;5", IF(LEFT(C111, 2)="S3", "C4", IF(LEFT(C111, 2)="SC", "C7", IF(LEFT(C111, 2)="S6", "C2", "Other"))))))</f>
        <v>C3&amp;5</v>
      </c>
      <c r="E111" s="1" t="n">
        <v>3</v>
      </c>
      <c r="F111" s="1" t="s">
        <v>357</v>
      </c>
      <c r="G111" s="12" t="s">
        <v>34</v>
      </c>
      <c r="H111" s="1" t="s">
        <v>358</v>
      </c>
      <c r="I111" s="1" t="s">
        <v>359</v>
      </c>
      <c r="J111" s="1"/>
    </row>
    <row r="112" customFormat="false" ht="14.5" hidden="true" customHeight="false" outlineLevel="0" collapsed="false">
      <c r="A112" s="11" t="n">
        <v>42</v>
      </c>
      <c r="B112" s="5" t="s">
        <v>47</v>
      </c>
      <c r="C112" s="5" t="s">
        <v>48</v>
      </c>
      <c r="D112" s="5" t="str">
        <f aca="false">IF(OR(LEFT(C112, 2)="SE", LEFT(C112, 2)="S4"), "C6", IF(LEFT(C112, 2)="S1", "C1", IF(OR(LEFT(C112, 2)="S2", LEFT(C112, 2)="S5"), "C3&amp;5", IF(LEFT(C112, 2)="S3", "C4", IF(LEFT(C112, 2)="SC", "C7", IF(LEFT(C112, 2)="S6", "C2", "Other"))))))</f>
        <v>C2</v>
      </c>
      <c r="E112" s="5" t="n">
        <v>1</v>
      </c>
      <c r="F112" s="5" t="s">
        <v>351</v>
      </c>
      <c r="G112" s="12" t="s">
        <v>34</v>
      </c>
      <c r="H112" s="5" t="s">
        <v>360</v>
      </c>
      <c r="I112" s="5" t="s">
        <v>361</v>
      </c>
      <c r="J112" s="5"/>
    </row>
    <row r="113" customFormat="false" ht="14.5" hidden="true" customHeight="false" outlineLevel="0" collapsed="false">
      <c r="A113" s="16" t="n">
        <v>42</v>
      </c>
      <c r="B113" s="1" t="s">
        <v>51</v>
      </c>
      <c r="C113" s="1" t="s">
        <v>56</v>
      </c>
      <c r="D113" s="1" t="str">
        <f aca="false">IF(OR(LEFT(C113, 2)="SE", LEFT(C113, 2)="S4"), "C6", IF(LEFT(C113, 2)="S1", "C1", IF(OR(LEFT(C113, 2)="S2", LEFT(C113, 2)="S5"), "C3&amp;5", IF(LEFT(C113, 2)="S3", "C4", IF(LEFT(C113, 2)="SC", "C7", IF(LEFT(C113, 2)="S6", "C2", "Other"))))))</f>
        <v>C4</v>
      </c>
      <c r="E113" s="1" t="n">
        <v>1</v>
      </c>
      <c r="F113" s="1" t="s">
        <v>362</v>
      </c>
      <c r="G113" s="12" t="s">
        <v>34</v>
      </c>
      <c r="H113" s="1" t="s">
        <v>363</v>
      </c>
      <c r="I113" s="1" t="s">
        <v>364</v>
      </c>
      <c r="J113" s="1"/>
    </row>
    <row r="114" customFormat="false" ht="14.5" hidden="true" customHeight="false" outlineLevel="0" collapsed="false">
      <c r="A114" s="20" t="n">
        <v>42</v>
      </c>
      <c r="B114" s="5" t="s">
        <v>71</v>
      </c>
      <c r="C114" s="5" t="s">
        <v>144</v>
      </c>
      <c r="D114" s="5" t="str">
        <f aca="false">IF(OR(LEFT(C114, 2)="SE", LEFT(C114, 2)="S4"), "C6", IF(LEFT(C114, 2)="S1", "C1", IF(OR(LEFT(C114, 2)="S2", LEFT(C114, 2)="S5"), "C3&amp;5", IF(LEFT(C114, 2)="S3", "C4", IF(LEFT(C114, 2)="SC", "C7", IF(LEFT(C114, 2)="S6", "C2", "Other"))))))</f>
        <v>C3&amp;5</v>
      </c>
      <c r="E114" s="5" t="n">
        <v>2</v>
      </c>
      <c r="F114" s="5" t="s">
        <v>351</v>
      </c>
      <c r="G114" s="12" t="s">
        <v>34</v>
      </c>
      <c r="H114" s="5" t="s">
        <v>365</v>
      </c>
      <c r="I114" s="5" t="s">
        <v>366</v>
      </c>
      <c r="J114" s="5"/>
    </row>
    <row r="115" customFormat="false" ht="14.5" hidden="true" customHeight="false" outlineLevel="0" collapsed="false">
      <c r="A115" s="13" t="n">
        <v>42</v>
      </c>
      <c r="B115" s="1" t="s">
        <v>211</v>
      </c>
      <c r="C115" s="1" t="s">
        <v>206</v>
      </c>
      <c r="D115" s="1" t="str">
        <f aca="false">IF(OR(LEFT(C115, 2)="SE", LEFT(C115, 2)="S4"), "C6", IF(LEFT(C115, 2)="S1", "C1", IF(OR(LEFT(C115, 2)="S2", LEFT(C115, 2)="S5"), "C3&amp;5", IF(LEFT(C115, 2)="S3", "C4", IF(LEFT(C115, 2)="SC", "C7", IF(LEFT(C115, 2)="S6", "C2", "Other"))))))</f>
        <v>C1</v>
      </c>
      <c r="E115" s="1" t="n">
        <v>1</v>
      </c>
      <c r="F115" s="0" t="s">
        <v>367</v>
      </c>
      <c r="G115" s="12" t="s">
        <v>34</v>
      </c>
      <c r="H115" s="1" t="s">
        <v>368</v>
      </c>
      <c r="I115" s="1" t="s">
        <v>369</v>
      </c>
      <c r="J115" s="1"/>
    </row>
    <row r="116" customFormat="false" ht="14.5" hidden="false" customHeight="false" outlineLevel="0" collapsed="false">
      <c r="A116" s="11" t="n">
        <v>42</v>
      </c>
      <c r="B116" s="5" t="s">
        <v>74</v>
      </c>
      <c r="C116" s="5" t="s">
        <v>1</v>
      </c>
      <c r="D116" s="5" t="str">
        <f aca="false">IF(OR(LEFT(C116, 2)="SE", LEFT(C116, 2)="S4"), "C6", IF(LEFT(C116, 2)="S1", "C1", IF(OR(LEFT(C116, 2)="S2", LEFT(C116, 2)="S5"), "C3&amp;5", IF(LEFT(C116, 2)="S3", "C4", IF(LEFT(C116, 2)="SC", "C7", IF(LEFT(C116, 2)="S6", "C2", "Other"))))))</f>
        <v>C7</v>
      </c>
      <c r="E116" s="5" t="n">
        <v>1</v>
      </c>
      <c r="F116" s="5" t="s">
        <v>370</v>
      </c>
      <c r="G116" s="12" t="s">
        <v>34</v>
      </c>
      <c r="H116" s="5" t="s">
        <v>371</v>
      </c>
      <c r="I116" s="5" t="s">
        <v>372</v>
      </c>
      <c r="J116" s="5"/>
    </row>
    <row r="117" customFormat="false" ht="14.5" hidden="true" customHeight="false" outlineLevel="0" collapsed="false">
      <c r="A117" s="16" t="n">
        <v>42</v>
      </c>
      <c r="B117" s="1" t="s">
        <v>80</v>
      </c>
      <c r="C117" s="1" t="s">
        <v>154</v>
      </c>
      <c r="D117" s="1" t="str">
        <f aca="false">IF(OR(LEFT(C117, 2)="SE", LEFT(C117, 2)="S4"), "C6", IF(LEFT(C117, 2)="S1", "C1", IF(OR(LEFT(C117, 2)="S2", LEFT(C117, 2)="S5"), "C3&amp;5", IF(LEFT(C117, 2)="S3", "C4", IF(LEFT(C117, 2)="SC", "C7", IF(LEFT(C117, 2)="S6", "C2", "Other"))))))</f>
        <v>C4</v>
      </c>
      <c r="E117" s="1" t="n">
        <v>1</v>
      </c>
      <c r="F117" s="1" t="s">
        <v>354</v>
      </c>
      <c r="G117" s="12" t="s">
        <v>34</v>
      </c>
      <c r="H117" s="1" t="s">
        <v>373</v>
      </c>
      <c r="I117" s="1" t="s">
        <v>374</v>
      </c>
      <c r="J117" s="1"/>
    </row>
    <row r="118" customFormat="false" ht="14.5" hidden="true" customHeight="false" outlineLevel="0" collapsed="false">
      <c r="A118" s="11" t="n">
        <v>42</v>
      </c>
      <c r="B118" s="5" t="s">
        <v>85</v>
      </c>
      <c r="C118" s="5" t="s">
        <v>206</v>
      </c>
      <c r="D118" s="5" t="str">
        <f aca="false">IF(OR(LEFT(C118, 2)="SE", LEFT(C118, 2)="S4"), "C6", IF(LEFT(C118, 2)="S1", "C1", IF(OR(LEFT(C118, 2)="S2", LEFT(C118, 2)="S5"), "C3&amp;5", IF(LEFT(C118, 2)="S3", "C4", IF(LEFT(C118, 2)="SC", "C7", IF(LEFT(C118, 2)="S6", "C2", "Other"))))))</f>
        <v>C1</v>
      </c>
      <c r="E118" s="5" t="n">
        <v>1</v>
      </c>
      <c r="F118" s="5" t="s">
        <v>354</v>
      </c>
      <c r="G118" s="12" t="s">
        <v>34</v>
      </c>
      <c r="H118" s="5" t="s">
        <v>375</v>
      </c>
      <c r="I118" s="5" t="s">
        <v>376</v>
      </c>
      <c r="J118" s="5"/>
    </row>
    <row r="119" customFormat="false" ht="14.5" hidden="true" customHeight="false" outlineLevel="0" collapsed="false">
      <c r="A119" s="13" t="n">
        <v>42</v>
      </c>
      <c r="B119" s="1" t="s">
        <v>88</v>
      </c>
      <c r="C119" s="1" t="s">
        <v>377</v>
      </c>
      <c r="D119" s="1" t="str">
        <f aca="false">IF(OR(LEFT(C119, 2)="SE", LEFT(C119, 2)="S4"), "C6", IF(LEFT(C119, 2)="S1", "C1", IF(OR(LEFT(C119, 2)="S2", LEFT(C119, 2)="S5"), "C3&amp;5", IF(LEFT(C119, 2)="S3", "C4", IF(LEFT(C119, 2)="SC", "C7", IF(LEFT(C119, 2)="S6", "C2", "Other"))))))</f>
        <v>C6</v>
      </c>
      <c r="E119" s="1" t="n">
        <v>1</v>
      </c>
      <c r="F119" s="1" t="s">
        <v>378</v>
      </c>
      <c r="G119" s="12" t="s">
        <v>34</v>
      </c>
      <c r="H119" s="1" t="s">
        <v>379</v>
      </c>
      <c r="I119" s="1" t="s">
        <v>380</v>
      </c>
      <c r="J119" s="1"/>
    </row>
    <row r="120" customFormat="false" ht="14.5" hidden="true" customHeight="false" outlineLevel="0" collapsed="false">
      <c r="A120" s="5" t="n">
        <v>43</v>
      </c>
      <c r="B120" s="5" t="s">
        <v>31</v>
      </c>
      <c r="C120" s="5" t="s">
        <v>179</v>
      </c>
      <c r="D120" s="5" t="str">
        <f aca="false">IF(OR(LEFT(C120, 2)="SE", LEFT(C120, 2)="S4"), "C6", IF(LEFT(C120, 2)="S1", "C1", IF(OR(LEFT(C120, 2)="S2", LEFT(C120, 2)="S5"), "C3&amp;5", IF(LEFT(C120, 2)="S3", "C4", IF(LEFT(C120, 2)="SC", "C7", IF(LEFT(C120, 2)="S6", "C2", "Other"))))))</f>
        <v>C2</v>
      </c>
      <c r="E120" s="5" t="n">
        <v>1</v>
      </c>
      <c r="F120" s="5" t="s">
        <v>180</v>
      </c>
      <c r="G120" s="12" t="s">
        <v>77</v>
      </c>
      <c r="H120" s="5" t="s">
        <v>381</v>
      </c>
      <c r="I120" s="5" t="s">
        <v>382</v>
      </c>
      <c r="J120" s="5"/>
    </row>
    <row r="121" customFormat="false" ht="14.5" hidden="true" customHeight="false" outlineLevel="0" collapsed="false">
      <c r="A121" s="13" t="n">
        <v>44</v>
      </c>
      <c r="B121" s="1" t="s">
        <v>31</v>
      </c>
      <c r="C121" s="1" t="s">
        <v>48</v>
      </c>
      <c r="D121" s="1" t="str">
        <f aca="false">IF(OR(LEFT(C121, 2)="SE", LEFT(C121, 2)="S4"), "C6", IF(LEFT(C121, 2)="S1", "C1", IF(OR(LEFT(C121, 2)="S2", LEFT(C121, 2)="S5"), "C3&amp;5", IF(LEFT(C121, 2)="S3", "C4", IF(LEFT(C121, 2)="SC", "C7", IF(LEFT(C121, 2)="S6", "C2", "Other"))))))</f>
        <v>C2</v>
      </c>
      <c r="E121" s="1" t="n">
        <v>2</v>
      </c>
      <c r="F121" s="1" t="s">
        <v>383</v>
      </c>
      <c r="G121" s="12" t="s">
        <v>34</v>
      </c>
      <c r="H121" s="1" t="s">
        <v>384</v>
      </c>
      <c r="I121" s="1" t="s">
        <v>385</v>
      </c>
      <c r="J121" s="1"/>
    </row>
    <row r="122" customFormat="false" ht="14.5" hidden="true" customHeight="false" outlineLevel="0" collapsed="false">
      <c r="A122" s="11" t="n">
        <v>45</v>
      </c>
      <c r="B122" s="5" t="s">
        <v>123</v>
      </c>
      <c r="C122" s="5" t="s">
        <v>179</v>
      </c>
      <c r="D122" s="5" t="str">
        <f aca="false">IF(OR(LEFT(C122, 2)="SE", LEFT(C122, 2)="S4"), "C6", IF(LEFT(C122, 2)="S1", "C1", IF(OR(LEFT(C122, 2)="S2", LEFT(C122, 2)="S5"), "C3&amp;5", IF(LEFT(C122, 2)="S3", "C4", IF(LEFT(C122, 2)="SC", "C7", IF(LEFT(C122, 2)="S6", "C2", "Other"))))))</f>
        <v>C2</v>
      </c>
      <c r="E122" s="5" t="n">
        <v>1</v>
      </c>
      <c r="F122" s="5" t="s">
        <v>386</v>
      </c>
      <c r="G122" s="12" t="s">
        <v>77</v>
      </c>
      <c r="H122" s="5" t="s">
        <v>387</v>
      </c>
      <c r="I122" s="5" t="s">
        <v>388</v>
      </c>
      <c r="J122" s="5"/>
    </row>
    <row r="123" customFormat="false" ht="14.5" hidden="true" customHeight="false" outlineLevel="0" collapsed="false">
      <c r="A123" s="13" t="n">
        <v>45</v>
      </c>
      <c r="B123" s="1" t="s">
        <v>31</v>
      </c>
      <c r="C123" s="1" t="s">
        <v>179</v>
      </c>
      <c r="D123" s="1" t="str">
        <f aca="false">IF(OR(LEFT(C123, 2)="SE", LEFT(C123, 2)="S4"), "C6", IF(LEFT(C123, 2)="S1", "C1", IF(OR(LEFT(C123, 2)="S2", LEFT(C123, 2)="S5"), "C3&amp;5", IF(LEFT(C123, 2)="S3", "C4", IF(LEFT(C123, 2)="SC", "C7", IF(LEFT(C123, 2)="S6", "C2", "Other"))))))</f>
        <v>C2</v>
      </c>
      <c r="E123" s="1" t="n">
        <v>1</v>
      </c>
      <c r="F123" s="1" t="s">
        <v>389</v>
      </c>
      <c r="G123" s="12" t="s">
        <v>34</v>
      </c>
      <c r="H123" s="1" t="s">
        <v>390</v>
      </c>
      <c r="I123" s="1" t="s">
        <v>391</v>
      </c>
      <c r="J123" s="1"/>
    </row>
    <row r="124" customFormat="false" ht="14.5" hidden="false" customHeight="false" outlineLevel="0" collapsed="false">
      <c r="A124" s="11" t="n">
        <v>47</v>
      </c>
      <c r="B124" s="5" t="s">
        <v>123</v>
      </c>
      <c r="C124" s="5" t="s">
        <v>1</v>
      </c>
      <c r="D124" s="5" t="str">
        <f aca="false">IF(OR(LEFT(C124, 2)="SE", LEFT(C124, 2)="S4"), "C6", IF(LEFT(C124, 2)="S1", "C1", IF(OR(LEFT(C124, 2)="S2", LEFT(C124, 2)="S5"), "C3&amp;5", IF(LEFT(C124, 2)="S3", "C4", IF(LEFT(C124, 2)="SC", "C7", IF(LEFT(C124, 2)="S6", "C2", "Other"))))))</f>
        <v>C7</v>
      </c>
      <c r="E124" s="5" t="n">
        <v>2</v>
      </c>
      <c r="F124" s="5" t="s">
        <v>392</v>
      </c>
      <c r="G124" s="12" t="s">
        <v>34</v>
      </c>
      <c r="H124" s="5" t="s">
        <v>393</v>
      </c>
      <c r="I124" s="5" t="s">
        <v>394</v>
      </c>
      <c r="J124" s="5"/>
    </row>
    <row r="125" customFormat="false" ht="14.5" hidden="true" customHeight="false" outlineLevel="0" collapsed="false">
      <c r="A125" s="13" t="n">
        <v>47</v>
      </c>
      <c r="B125" s="1" t="s">
        <v>31</v>
      </c>
      <c r="C125" s="1" t="s">
        <v>96</v>
      </c>
      <c r="D125" s="1" t="str">
        <f aca="false">IF(OR(LEFT(C125, 2)="SE", LEFT(C125, 2)="S4"), "C6", IF(LEFT(C125, 2)="S1", "C1", IF(OR(LEFT(C125, 2)="S2", LEFT(C125, 2)="S5"), "C3&amp;5", IF(LEFT(C125, 2)="S3", "C4", IF(LEFT(C125, 2)="SC", "C7", IF(LEFT(C125, 2)="S6", "C2", "Other"))))))</f>
        <v>C2</v>
      </c>
      <c r="E125" s="1" t="n">
        <v>5</v>
      </c>
      <c r="F125" s="1" t="s">
        <v>392</v>
      </c>
      <c r="G125" s="12" t="s">
        <v>34</v>
      </c>
      <c r="H125" s="1" t="s">
        <v>395</v>
      </c>
      <c r="I125" s="1" t="s">
        <v>396</v>
      </c>
      <c r="J125" s="1"/>
    </row>
    <row r="126" customFormat="false" ht="14.5" hidden="false" customHeight="false" outlineLevel="0" collapsed="false">
      <c r="A126" s="11" t="n">
        <v>47</v>
      </c>
      <c r="B126" s="5" t="s">
        <v>37</v>
      </c>
      <c r="C126" s="5" t="s">
        <v>1</v>
      </c>
      <c r="D126" s="5" t="str">
        <f aca="false">IF(OR(LEFT(C126, 2)="SE", LEFT(C126, 2)="S4"), "C6", IF(LEFT(C126, 2)="S1", "C1", IF(OR(LEFT(C126, 2)="S2", LEFT(C126, 2)="S5"), "C3&amp;5", IF(LEFT(C126, 2)="S3", "C4", IF(LEFT(C126, 2)="SC", "C7", IF(LEFT(C126, 2)="S6", "C2", "Other"))))))</f>
        <v>C7</v>
      </c>
      <c r="E126" s="5" t="n">
        <v>8</v>
      </c>
      <c r="F126" s="5" t="s">
        <v>397</v>
      </c>
      <c r="G126" s="12" t="s">
        <v>34</v>
      </c>
      <c r="H126" s="5" t="s">
        <v>398</v>
      </c>
      <c r="I126" s="5" t="s">
        <v>399</v>
      </c>
      <c r="J126" s="5"/>
    </row>
    <row r="127" customFormat="false" ht="14.5" hidden="true" customHeight="false" outlineLevel="0" collapsed="false">
      <c r="A127" s="13" t="n">
        <v>47</v>
      </c>
      <c r="B127" s="1" t="s">
        <v>42</v>
      </c>
      <c r="C127" s="1" t="s">
        <v>65</v>
      </c>
      <c r="D127" s="1" t="str">
        <f aca="false">IF(OR(LEFT(C127, 2)="SE", LEFT(C127, 2)="S4"), "C6", IF(LEFT(C127, 2)="S1", "C1", IF(OR(LEFT(C127, 2)="S2", LEFT(C127, 2)="S5"), "C3&amp;5", IF(LEFT(C127, 2)="S3", "C4", IF(LEFT(C127, 2)="SC", "C7", IF(LEFT(C127, 2)="S6", "C2", "Other"))))))</f>
        <v>C6</v>
      </c>
      <c r="E127" s="1" t="n">
        <v>1</v>
      </c>
      <c r="F127" s="1" t="s">
        <v>392</v>
      </c>
      <c r="G127" s="12" t="s">
        <v>34</v>
      </c>
      <c r="H127" s="1" t="s">
        <v>400</v>
      </c>
      <c r="I127" s="1" t="s">
        <v>401</v>
      </c>
      <c r="J127" s="1"/>
    </row>
    <row r="128" customFormat="false" ht="14.5" hidden="true" customHeight="false" outlineLevel="0" collapsed="false">
      <c r="A128" s="11" t="n">
        <v>49</v>
      </c>
      <c r="B128" s="5" t="s">
        <v>123</v>
      </c>
      <c r="C128" s="5" t="s">
        <v>96</v>
      </c>
      <c r="D128" s="5" t="str">
        <f aca="false">IF(OR(LEFT(C128, 2)="SE", LEFT(C128, 2)="S4"), "C6", IF(LEFT(C128, 2)="S1", "C1", IF(OR(LEFT(C128, 2)="S2", LEFT(C128, 2)="S5"), "C3&amp;5", IF(LEFT(C128, 2)="S3", "C4", IF(LEFT(C128, 2)="SC", "C7", IF(LEFT(C128, 2)="S6", "C2", "Other"))))))</f>
        <v>C2</v>
      </c>
      <c r="E128" s="5" t="n">
        <v>1</v>
      </c>
      <c r="F128" s="5" t="s">
        <v>402</v>
      </c>
      <c r="G128" s="12" t="s">
        <v>34</v>
      </c>
      <c r="H128" s="5" t="s">
        <v>403</v>
      </c>
      <c r="I128" s="5" t="s">
        <v>404</v>
      </c>
      <c r="J128" s="5"/>
    </row>
    <row r="129" customFormat="false" ht="14.5" hidden="true" customHeight="false" outlineLevel="0" collapsed="false">
      <c r="A129" s="13" t="n">
        <v>51</v>
      </c>
      <c r="B129" s="1" t="s">
        <v>31</v>
      </c>
      <c r="C129" s="1" t="s">
        <v>48</v>
      </c>
      <c r="D129" s="1" t="str">
        <f aca="false">IF(OR(LEFT(C129, 2)="SE", LEFT(C129, 2)="S4"), "C6", IF(LEFT(C129, 2)="S1", "C1", IF(OR(LEFT(C129, 2)="S2", LEFT(C129, 2)="S5"), "C3&amp;5", IF(LEFT(C129, 2)="S3", "C4", IF(LEFT(C129, 2)="SC", "C7", IF(LEFT(C129, 2)="S6", "C2", "Other"))))))</f>
        <v>C2</v>
      </c>
      <c r="E129" s="1" t="n">
        <v>2</v>
      </c>
      <c r="F129" s="1" t="s">
        <v>405</v>
      </c>
      <c r="G129" s="12" t="s">
        <v>77</v>
      </c>
      <c r="H129" s="1" t="s">
        <v>406</v>
      </c>
      <c r="I129" s="1" t="s">
        <v>407</v>
      </c>
      <c r="J129" s="1"/>
    </row>
    <row r="130" customFormat="false" ht="14.5" hidden="true" customHeight="false" outlineLevel="0" collapsed="false">
      <c r="A130" s="20" t="n">
        <v>51</v>
      </c>
      <c r="B130" s="5" t="s">
        <v>37</v>
      </c>
      <c r="C130" s="5" t="s">
        <v>56</v>
      </c>
      <c r="D130" s="5" t="str">
        <f aca="false">IF(OR(LEFT(C130, 2)="SE", LEFT(C130, 2)="S4"), "C6", IF(LEFT(C130, 2)="S1", "C1", IF(OR(LEFT(C130, 2)="S2", LEFT(C130, 2)="S5"), "C3&amp;5", IF(LEFT(C130, 2)="S3", "C4", IF(LEFT(C130, 2)="SC", "C7", IF(LEFT(C130, 2)="S6", "C2", "Other"))))))</f>
        <v>C4</v>
      </c>
      <c r="E130" s="5" t="n">
        <v>1</v>
      </c>
      <c r="F130" s="5" t="s">
        <v>405</v>
      </c>
      <c r="G130" s="12" t="s">
        <v>77</v>
      </c>
      <c r="H130" s="5" t="s">
        <v>408</v>
      </c>
      <c r="I130" s="5" t="s">
        <v>409</v>
      </c>
      <c r="J130" s="5"/>
    </row>
    <row r="131" customFormat="false" ht="14.5" hidden="true" customHeight="false" outlineLevel="0" collapsed="false">
      <c r="A131" s="13" t="n">
        <v>51</v>
      </c>
      <c r="B131" s="1" t="s">
        <v>42</v>
      </c>
      <c r="C131" s="1" t="s">
        <v>48</v>
      </c>
      <c r="D131" s="1" t="str">
        <f aca="false">IF(OR(LEFT(C131, 2)="SE", LEFT(C131, 2)="S4"), "C6", IF(LEFT(C131, 2)="S1", "C1", IF(OR(LEFT(C131, 2)="S2", LEFT(C131, 2)="S5"), "C3&amp;5", IF(LEFT(C131, 2)="S3", "C4", IF(LEFT(C131, 2)="SC", "C7", IF(LEFT(C131, 2)="S6", "C2", "Other"))))))</f>
        <v>C2</v>
      </c>
      <c r="E131" s="1" t="n">
        <v>2</v>
      </c>
      <c r="F131" s="1" t="s">
        <v>405</v>
      </c>
      <c r="G131" s="12" t="s">
        <v>77</v>
      </c>
      <c r="H131" s="1" t="s">
        <v>410</v>
      </c>
      <c r="I131" s="1" t="s">
        <v>411</v>
      </c>
      <c r="J131" s="1"/>
    </row>
    <row r="132" customFormat="false" ht="14.5" hidden="true" customHeight="false" outlineLevel="0" collapsed="false">
      <c r="A132" s="11" t="n">
        <v>51</v>
      </c>
      <c r="B132" s="5" t="s">
        <v>47</v>
      </c>
      <c r="C132" s="5" t="s">
        <v>228</v>
      </c>
      <c r="D132" s="5" t="str">
        <f aca="false">IF(OR(LEFT(C132, 2)="SE", LEFT(C132, 2)="S4"), "C6", IF(LEFT(C132, 2)="S1", "C1", IF(OR(LEFT(C132, 2)="S2", LEFT(C132, 2)="S5"), "C3&amp;5", IF(LEFT(C132, 2)="S3", "C4", IF(LEFT(C132, 2)="SC", "C7", IF(LEFT(C132, 2)="S6", "C2", "Other"))))))</f>
        <v>C6</v>
      </c>
      <c r="E132" s="5" t="n">
        <v>4</v>
      </c>
      <c r="F132" s="5" t="s">
        <v>412</v>
      </c>
      <c r="G132" s="12" t="s">
        <v>125</v>
      </c>
      <c r="H132" s="5" t="s">
        <v>413</v>
      </c>
      <c r="I132" s="5" t="s">
        <v>414</v>
      </c>
      <c r="J132" s="5"/>
    </row>
    <row r="133" customFormat="false" ht="14.5" hidden="true" customHeight="false" outlineLevel="0" collapsed="false">
      <c r="A133" s="13" t="n">
        <v>51</v>
      </c>
      <c r="B133" s="1" t="s">
        <v>51</v>
      </c>
      <c r="C133" s="1" t="s">
        <v>96</v>
      </c>
      <c r="D133" s="1" t="str">
        <f aca="false">IF(OR(LEFT(C133, 2)="SE", LEFT(C133, 2)="S4"), "C6", IF(LEFT(C133, 2)="S1", "C1", IF(OR(LEFT(C133, 2)="S2", LEFT(C133, 2)="S5"), "C3&amp;5", IF(LEFT(C133, 2)="S3", "C4", IF(LEFT(C133, 2)="SC", "C7", IF(LEFT(C133, 2)="S6", "C2", "Other"))))))</f>
        <v>C2</v>
      </c>
      <c r="E133" s="1" t="n">
        <v>1</v>
      </c>
      <c r="F133" s="1" t="s">
        <v>405</v>
      </c>
      <c r="G133" s="12" t="s">
        <v>77</v>
      </c>
      <c r="H133" s="1" t="s">
        <v>415</v>
      </c>
      <c r="I133" s="1" t="s">
        <v>416</v>
      </c>
      <c r="J133" s="1"/>
    </row>
    <row r="134" customFormat="false" ht="14.5" hidden="true" customHeight="false" outlineLevel="0" collapsed="false">
      <c r="A134" s="11" t="n">
        <v>51</v>
      </c>
      <c r="B134" s="5" t="s">
        <v>71</v>
      </c>
      <c r="C134" s="5" t="s">
        <v>81</v>
      </c>
      <c r="D134" s="5" t="str">
        <f aca="false">IF(OR(LEFT(C134, 2)="SE", LEFT(C134, 2)="S4"), "C6", IF(LEFT(C134, 2)="S1", "C1", IF(OR(LEFT(C134, 2)="S2", LEFT(C134, 2)="S5"), "C3&amp;5", IF(LEFT(C134, 2)="S3", "C4", IF(LEFT(C134, 2)="SC", "C7", IF(LEFT(C134, 2)="S6", "C2", "Other"))))))</f>
        <v>C3&amp;5</v>
      </c>
      <c r="E134" s="5" t="n">
        <v>4</v>
      </c>
      <c r="F134" s="5" t="s">
        <v>417</v>
      </c>
      <c r="G134" s="12" t="s">
        <v>34</v>
      </c>
      <c r="H134" s="5" t="s">
        <v>418</v>
      </c>
      <c r="I134" s="5" t="s">
        <v>419</v>
      </c>
      <c r="J134" s="5"/>
    </row>
    <row r="135" customFormat="false" ht="14.5" hidden="true" customHeight="false" outlineLevel="0" collapsed="false">
      <c r="A135" s="13" t="n">
        <v>52</v>
      </c>
      <c r="B135" s="1" t="s">
        <v>123</v>
      </c>
      <c r="C135" s="1" t="s">
        <v>206</v>
      </c>
      <c r="D135" s="1" t="str">
        <f aca="false">IF(OR(LEFT(C135, 2)="SE", LEFT(C135, 2)="S4"), "C6", IF(LEFT(C135, 2)="S1", "C1", IF(OR(LEFT(C135, 2)="S2", LEFT(C135, 2)="S5"), "C3&amp;5", IF(LEFT(C135, 2)="S3", "C4", IF(LEFT(C135, 2)="SC", "C7", IF(LEFT(C135, 2)="S6", "C2", "Other"))))))</f>
        <v>C1</v>
      </c>
      <c r="E135" s="1" t="n">
        <v>2</v>
      </c>
      <c r="F135" s="1" t="s">
        <v>420</v>
      </c>
      <c r="G135" s="12" t="s">
        <v>34</v>
      </c>
      <c r="H135" s="1" t="s">
        <v>421</v>
      </c>
      <c r="I135" s="1" t="s">
        <v>422</v>
      </c>
      <c r="J135" s="1"/>
    </row>
    <row r="136" customFormat="false" ht="14.5" hidden="true" customHeight="false" outlineLevel="0" collapsed="false">
      <c r="A136" s="11" t="n">
        <v>52</v>
      </c>
      <c r="B136" s="5" t="s">
        <v>31</v>
      </c>
      <c r="C136" s="5" t="s">
        <v>38</v>
      </c>
      <c r="D136" s="5" t="str">
        <f aca="false">IF(OR(LEFT(C136, 2)="SE", LEFT(C136, 2)="S4"), "C6", IF(LEFT(C136, 2)="S1", "C1", IF(OR(LEFT(C136, 2)="S2", LEFT(C136, 2)="S5"), "C3&amp;5", IF(LEFT(C136, 2)="S3", "C4", IF(LEFT(C136, 2)="SC", "C7", IF(LEFT(C136, 2)="S6", "C2", "Other"))))))</f>
        <v>C1</v>
      </c>
      <c r="E136" s="5" t="n">
        <v>1</v>
      </c>
      <c r="F136" s="5" t="s">
        <v>420</v>
      </c>
      <c r="G136" s="12" t="s">
        <v>34</v>
      </c>
      <c r="H136" s="5" t="s">
        <v>423</v>
      </c>
      <c r="I136" s="5" t="s">
        <v>424</v>
      </c>
      <c r="J136" s="5"/>
    </row>
    <row r="137" customFormat="false" ht="14.5" hidden="true" customHeight="false" outlineLevel="0" collapsed="false">
      <c r="A137" s="13" t="n">
        <v>52</v>
      </c>
      <c r="B137" s="1" t="s">
        <v>37</v>
      </c>
      <c r="C137" s="1" t="s">
        <v>103</v>
      </c>
      <c r="D137" s="1" t="str">
        <f aca="false">IF(OR(LEFT(C137, 2)="SE", LEFT(C137, 2)="S4"), "C6", IF(LEFT(C137, 2)="S1", "C1", IF(OR(LEFT(C137, 2)="S2", LEFT(C137, 2)="S5"), "C3&amp;5", IF(LEFT(C137, 2)="S3", "C4", IF(LEFT(C137, 2)="SC", "C7", IF(LEFT(C137, 2)="S6", "C2", "Other"))))))</f>
        <v>C6</v>
      </c>
      <c r="E137" s="1" t="n">
        <v>4</v>
      </c>
      <c r="F137" s="1" t="s">
        <v>425</v>
      </c>
      <c r="G137" s="12" t="s">
        <v>34</v>
      </c>
      <c r="H137" s="1" t="s">
        <v>426</v>
      </c>
      <c r="I137" s="1" t="s">
        <v>427</v>
      </c>
      <c r="J137" s="1"/>
    </row>
    <row r="138" customFormat="false" ht="14.5" hidden="true" customHeight="false" outlineLevel="0" collapsed="false">
      <c r="A138" s="11" t="n">
        <v>52</v>
      </c>
      <c r="B138" s="5" t="s">
        <v>42</v>
      </c>
      <c r="C138" s="5" t="s">
        <v>48</v>
      </c>
      <c r="D138" s="5" t="str">
        <f aca="false">IF(OR(LEFT(C138, 2)="SE", LEFT(C138, 2)="S4"), "C6", IF(LEFT(C138, 2)="S1", "C1", IF(OR(LEFT(C138, 2)="S2", LEFT(C138, 2)="S5"), "C3&amp;5", IF(LEFT(C138, 2)="S3", "C4", IF(LEFT(C138, 2)="SC", "C7", IF(LEFT(C138, 2)="S6", "C2", "Other"))))))</f>
        <v>C2</v>
      </c>
      <c r="E138" s="5" t="n">
        <v>1</v>
      </c>
      <c r="F138" s="5" t="s">
        <v>428</v>
      </c>
      <c r="G138" s="12" t="s">
        <v>34</v>
      </c>
      <c r="H138" s="5" t="s">
        <v>429</v>
      </c>
      <c r="I138" s="5" t="s">
        <v>430</v>
      </c>
      <c r="J138" s="5"/>
    </row>
    <row r="139" customFormat="false" ht="14.5" hidden="true" customHeight="false" outlineLevel="0" collapsed="false">
      <c r="A139" s="13" t="n">
        <v>52</v>
      </c>
      <c r="B139" s="1" t="s">
        <v>47</v>
      </c>
      <c r="C139" s="1" t="s">
        <v>38</v>
      </c>
      <c r="D139" s="1" t="str">
        <f aca="false">IF(OR(LEFT(C139, 2)="SE", LEFT(C139, 2)="S4"), "C6", IF(LEFT(C139, 2)="S1", "C1", IF(OR(LEFT(C139, 2)="S2", LEFT(C139, 2)="S5"), "C3&amp;5", IF(LEFT(C139, 2)="S3", "C4", IF(LEFT(C139, 2)="SC", "C7", IF(LEFT(C139, 2)="S6", "C2", "Other"))))))</f>
        <v>C1</v>
      </c>
      <c r="E139" s="1" t="n">
        <v>2</v>
      </c>
      <c r="F139" s="1" t="s">
        <v>420</v>
      </c>
      <c r="G139" s="12" t="s">
        <v>34</v>
      </c>
      <c r="H139" s="1" t="s">
        <v>431</v>
      </c>
      <c r="I139" s="1" t="s">
        <v>432</v>
      </c>
      <c r="J139" s="1"/>
    </row>
    <row r="140" customFormat="false" ht="14.5" hidden="false" customHeight="false" outlineLevel="0" collapsed="false">
      <c r="A140" s="11" t="n">
        <v>52</v>
      </c>
      <c r="B140" s="5" t="s">
        <v>55</v>
      </c>
      <c r="C140" s="5" t="s">
        <v>1</v>
      </c>
      <c r="D140" s="5" t="str">
        <f aca="false">IF(OR(LEFT(C140, 2)="SE", LEFT(C140, 2)="S4"), "C6", IF(LEFT(C140, 2)="S1", "C1", IF(OR(LEFT(C140, 2)="S2", LEFT(C140, 2)="S5"), "C3&amp;5", IF(LEFT(C140, 2)="S3", "C4", IF(LEFT(C140, 2)="SC", "C7", IF(LEFT(C140, 2)="S6", "C2", "Other"))))))</f>
        <v>C7</v>
      </c>
      <c r="E140" s="5" t="n">
        <v>1</v>
      </c>
      <c r="F140" s="5" t="s">
        <v>433</v>
      </c>
      <c r="G140" s="12" t="s">
        <v>34</v>
      </c>
      <c r="H140" s="5" t="s">
        <v>434</v>
      </c>
      <c r="I140" s="5" t="s">
        <v>435</v>
      </c>
      <c r="J140" s="5"/>
    </row>
    <row r="141" customFormat="false" ht="14.5" hidden="true" customHeight="false" outlineLevel="0" collapsed="false">
      <c r="A141" s="13" t="n">
        <v>52</v>
      </c>
      <c r="B141" s="1" t="s">
        <v>211</v>
      </c>
      <c r="C141" s="1" t="s">
        <v>48</v>
      </c>
      <c r="D141" s="1" t="str">
        <f aca="false">IF(OR(LEFT(C141, 2)="SE", LEFT(C141, 2)="S4"), "C6", IF(LEFT(C141, 2)="S1", "C1", IF(OR(LEFT(C141, 2)="S2", LEFT(C141, 2)="S5"), "C3&amp;5", IF(LEFT(C141, 2)="S3", "C4", IF(LEFT(C141, 2)="SC", "C7", IF(LEFT(C141, 2)="S6", "C2", "Other"))))))</f>
        <v>C2</v>
      </c>
      <c r="E141" s="1" t="n">
        <v>1</v>
      </c>
      <c r="F141" s="1" t="s">
        <v>420</v>
      </c>
      <c r="G141" s="12" t="s">
        <v>34</v>
      </c>
      <c r="H141" s="1" t="s">
        <v>436</v>
      </c>
      <c r="I141" s="1" t="s">
        <v>437</v>
      </c>
      <c r="J141" s="1"/>
    </row>
    <row r="142" customFormat="false" ht="14.5" hidden="true" customHeight="false" outlineLevel="0" collapsed="false">
      <c r="A142" s="11" t="n">
        <v>52</v>
      </c>
      <c r="B142" s="5" t="s">
        <v>74</v>
      </c>
      <c r="C142" s="5" t="s">
        <v>38</v>
      </c>
      <c r="D142" s="5" t="str">
        <f aca="false">IF(OR(LEFT(C142, 2)="SE", LEFT(C142, 2)="S4"), "C6", IF(LEFT(C142, 2)="S1", "C1", IF(OR(LEFT(C142, 2)="S2", LEFT(C142, 2)="S5"), "C3&amp;5", IF(LEFT(C142, 2)="S3", "C4", IF(LEFT(C142, 2)="SC", "C7", IF(LEFT(C142, 2)="S6", "C2", "Other"))))))</f>
        <v>C1</v>
      </c>
      <c r="E142" s="5" t="n">
        <v>1</v>
      </c>
      <c r="F142" s="5" t="s">
        <v>438</v>
      </c>
      <c r="G142" s="12" t="s">
        <v>34</v>
      </c>
      <c r="H142" s="5" t="s">
        <v>439</v>
      </c>
      <c r="I142" s="5" t="s">
        <v>440</v>
      </c>
      <c r="J142" s="5"/>
    </row>
    <row r="143" customFormat="false" ht="14.5" hidden="true" customHeight="false" outlineLevel="0" collapsed="false">
      <c r="A143" s="13" t="n">
        <v>52</v>
      </c>
      <c r="B143" s="1" t="s">
        <v>80</v>
      </c>
      <c r="C143" s="1" t="s">
        <v>377</v>
      </c>
      <c r="D143" s="1" t="str">
        <f aca="false">IF(OR(LEFT(C143, 2)="SE", LEFT(C143, 2)="S4"), "C6", IF(LEFT(C143, 2)="S1", "C1", IF(OR(LEFT(C143, 2)="S2", LEFT(C143, 2)="S5"), "C3&amp;5", IF(LEFT(C143, 2)="S3", "C4", IF(LEFT(C143, 2)="SC", "C7", IF(LEFT(C143, 2)="S6", "C2", "Other"))))))</f>
        <v>C6</v>
      </c>
      <c r="E143" s="1" t="n">
        <v>1</v>
      </c>
      <c r="F143" s="1" t="s">
        <v>441</v>
      </c>
      <c r="G143" s="12" t="s">
        <v>125</v>
      </c>
      <c r="H143" s="1" t="s">
        <v>442</v>
      </c>
      <c r="I143" s="1" t="s">
        <v>443</v>
      </c>
      <c r="J143" s="1"/>
    </row>
    <row r="144" customFormat="false" ht="14.5" hidden="true" customHeight="false" outlineLevel="0" collapsed="false">
      <c r="A144" s="20" t="n">
        <v>52</v>
      </c>
      <c r="B144" s="5" t="s">
        <v>88</v>
      </c>
      <c r="C144" s="5" t="s">
        <v>75</v>
      </c>
      <c r="D144" s="5" t="str">
        <f aca="false">IF(OR(LEFT(C144, 2)="SE", LEFT(C144, 2)="S4"), "C6", IF(LEFT(C144, 2)="S1", "C1", IF(OR(LEFT(C144, 2)="S2", LEFT(C144, 2)="S5"), "C3&amp;5", IF(LEFT(C144, 2)="S3", "C4", IF(LEFT(C144, 2)="SC", "C7", IF(LEFT(C144, 2)="S6", "C2", "Other"))))))</f>
        <v>C3&amp;5</v>
      </c>
      <c r="E144" s="5" t="n">
        <v>1</v>
      </c>
      <c r="F144" s="5" t="s">
        <v>420</v>
      </c>
      <c r="G144" s="12" t="s">
        <v>34</v>
      </c>
      <c r="H144" s="5" t="s">
        <v>444</v>
      </c>
      <c r="I144" s="5" t="s">
        <v>445</v>
      </c>
      <c r="J144" s="5"/>
    </row>
    <row r="145" customFormat="false" ht="14.5" hidden="true" customHeight="false" outlineLevel="0" collapsed="false">
      <c r="A145" s="16" t="n">
        <v>52</v>
      </c>
      <c r="B145" s="1" t="s">
        <v>91</v>
      </c>
      <c r="C145" s="1" t="s">
        <v>75</v>
      </c>
      <c r="D145" s="1" t="str">
        <f aca="false">IF(OR(LEFT(C145, 2)="SE", LEFT(C145, 2)="S4"), "C6", IF(LEFT(C145, 2)="S1", "C1", IF(OR(LEFT(C145, 2)="S2", LEFT(C145, 2)="S5"), "C3&amp;5", IF(LEFT(C145, 2)="S3", "C4", IF(LEFT(C145, 2)="SC", "C7", IF(LEFT(C145, 2)="S6", "C2", "Other"))))))</f>
        <v>C3&amp;5</v>
      </c>
      <c r="E145" s="1" t="n">
        <v>1</v>
      </c>
      <c r="F145" s="1" t="s">
        <v>420</v>
      </c>
      <c r="G145" s="12" t="s">
        <v>34</v>
      </c>
      <c r="H145" s="1" t="s">
        <v>446</v>
      </c>
      <c r="I145" s="1" t="s">
        <v>447</v>
      </c>
      <c r="J145" s="1"/>
    </row>
    <row r="146" customFormat="false" ht="14.5" hidden="true" customHeight="false" outlineLevel="0" collapsed="false">
      <c r="A146" s="11" t="n">
        <v>52</v>
      </c>
      <c r="B146" s="5" t="s">
        <v>95</v>
      </c>
      <c r="C146" s="5" t="s">
        <v>48</v>
      </c>
      <c r="D146" s="5" t="str">
        <f aca="false">IF(OR(LEFT(C146, 2)="SE", LEFT(C146, 2)="S4"), "C6", IF(LEFT(C146, 2)="S1", "C1", IF(OR(LEFT(C146, 2)="S2", LEFT(C146, 2)="S5"), "C3&amp;5", IF(LEFT(C146, 2)="S3", "C4", IF(LEFT(C146, 2)="SC", "C7", IF(LEFT(C146, 2)="S6", "C2", "Other"))))))</f>
        <v>C2</v>
      </c>
      <c r="E146" s="5" t="n">
        <v>1</v>
      </c>
      <c r="F146" s="5" t="s">
        <v>448</v>
      </c>
      <c r="G146" s="12" t="s">
        <v>125</v>
      </c>
      <c r="H146" s="5" t="s">
        <v>449</v>
      </c>
      <c r="I146" s="5" t="s">
        <v>450</v>
      </c>
      <c r="J146" s="5"/>
    </row>
    <row r="147" customFormat="false" ht="14.5" hidden="true" customHeight="false" outlineLevel="0" collapsed="false">
      <c r="A147" s="13" t="n">
        <v>52</v>
      </c>
      <c r="B147" s="1" t="s">
        <v>451</v>
      </c>
      <c r="C147" s="1" t="s">
        <v>96</v>
      </c>
      <c r="D147" s="1" t="str">
        <f aca="false">IF(OR(LEFT(C147, 2)="SE", LEFT(C147, 2)="S4"), "C6", IF(LEFT(C147, 2)="S1", "C1", IF(OR(LEFT(C147, 2)="S2", LEFT(C147, 2)="S5"), "C3&amp;5", IF(LEFT(C147, 2)="S3", "C4", IF(LEFT(C147, 2)="SC", "C7", IF(LEFT(C147, 2)="S6", "C2", "Other"))))))</f>
        <v>C2</v>
      </c>
      <c r="E147" s="1" t="n">
        <v>1</v>
      </c>
      <c r="F147" s="1" t="s">
        <v>448</v>
      </c>
      <c r="G147" s="12" t="s">
        <v>125</v>
      </c>
      <c r="H147" s="1" t="s">
        <v>452</v>
      </c>
      <c r="I147" s="1" t="s">
        <v>453</v>
      </c>
      <c r="J147" s="1"/>
    </row>
    <row r="148" customFormat="false" ht="14.5" hidden="true" customHeight="false" outlineLevel="0" collapsed="false">
      <c r="A148" s="11" t="n">
        <v>52</v>
      </c>
      <c r="B148" s="5" t="s">
        <v>102</v>
      </c>
      <c r="C148" s="5" t="s">
        <v>38</v>
      </c>
      <c r="D148" s="5" t="str">
        <f aca="false">IF(OR(LEFT(C148, 2)="SE", LEFT(C148, 2)="S4"), "C6", IF(LEFT(C148, 2)="S1", "C1", IF(OR(LEFT(C148, 2)="S2", LEFT(C148, 2)="S5"), "C3&amp;5", IF(LEFT(C148, 2)="S3", "C4", IF(LEFT(C148, 2)="SC", "C7", IF(LEFT(C148, 2)="S6", "C2", "Other"))))))</f>
        <v>C1</v>
      </c>
      <c r="E148" s="5" t="n">
        <v>1</v>
      </c>
      <c r="F148" s="5" t="s">
        <v>454</v>
      </c>
      <c r="G148" s="12" t="s">
        <v>34</v>
      </c>
      <c r="H148" s="5" t="s">
        <v>455</v>
      </c>
      <c r="I148" s="5" t="s">
        <v>456</v>
      </c>
      <c r="J148" s="5"/>
    </row>
    <row r="149" customFormat="false" ht="14.5" hidden="false" customHeight="false" outlineLevel="0" collapsed="false">
      <c r="A149" s="13" t="n">
        <v>52</v>
      </c>
      <c r="B149" s="1" t="s">
        <v>457</v>
      </c>
      <c r="C149" s="1" t="s">
        <v>1</v>
      </c>
      <c r="D149" s="1" t="str">
        <f aca="false">IF(OR(LEFT(C149, 2)="SE", LEFT(C149, 2)="S4"), "C6", IF(LEFT(C149, 2)="S1", "C1", IF(OR(LEFT(C149, 2)="S2", LEFT(C149, 2)="S5"), "C3&amp;5", IF(LEFT(C149, 2)="S3", "C4", IF(LEFT(C149, 2)="SC", "C7", IF(LEFT(C149, 2)="S6", "C2", "Other"))))))</f>
        <v>C7</v>
      </c>
      <c r="E149" s="1" t="n">
        <v>1</v>
      </c>
      <c r="F149" s="1" t="s">
        <v>458</v>
      </c>
      <c r="G149" s="12" t="s">
        <v>125</v>
      </c>
      <c r="H149" s="1" t="s">
        <v>459</v>
      </c>
      <c r="I149" s="1" t="s">
        <v>460</v>
      </c>
      <c r="J149" s="1"/>
    </row>
    <row r="150" customFormat="false" ht="14.5" hidden="true" customHeight="false" outlineLevel="0" collapsed="false">
      <c r="A150" s="11" t="n">
        <v>52</v>
      </c>
      <c r="B150" s="5" t="s">
        <v>110</v>
      </c>
      <c r="C150" s="5" t="s">
        <v>81</v>
      </c>
      <c r="D150" s="5" t="str">
        <f aca="false">IF(OR(LEFT(C150, 2)="SE", LEFT(C150, 2)="S4"), "C6", IF(LEFT(C150, 2)="S1", "C1", IF(OR(LEFT(C150, 2)="S2", LEFT(C150, 2)="S5"), "C3&amp;5", IF(LEFT(C150, 2)="S3", "C4", IF(LEFT(C150, 2)="SC", "C7", IF(LEFT(C150, 2)="S6", "C2", "Other"))))))</f>
        <v>C3&amp;5</v>
      </c>
      <c r="E150" s="5" t="n">
        <v>1</v>
      </c>
      <c r="F150" s="5" t="s">
        <v>420</v>
      </c>
      <c r="G150" s="12" t="s">
        <v>34</v>
      </c>
      <c r="H150" s="5" t="s">
        <v>461</v>
      </c>
      <c r="I150" s="5" t="s">
        <v>462</v>
      </c>
      <c r="J150" s="5"/>
    </row>
    <row r="151" customFormat="false" ht="14.5" hidden="true" customHeight="false" outlineLevel="0" collapsed="false">
      <c r="A151" s="13" t="n">
        <v>52</v>
      </c>
      <c r="B151" s="1" t="s">
        <v>463</v>
      </c>
      <c r="C151" s="1" t="s">
        <v>206</v>
      </c>
      <c r="D151" s="1" t="str">
        <f aca="false">IF(OR(LEFT(C151, 2)="SE", LEFT(C151, 2)="S4"), "C6", IF(LEFT(C151, 2)="S1", "C1", IF(OR(LEFT(C151, 2)="S2", LEFT(C151, 2)="S5"), "C3&amp;5", IF(LEFT(C151, 2)="S3", "C4", IF(LEFT(C151, 2)="SC", "C7", IF(LEFT(C151, 2)="S6", "C2", "Other"))))))</f>
        <v>C1</v>
      </c>
      <c r="E151" s="1" t="n">
        <v>1</v>
      </c>
      <c r="F151" s="1" t="s">
        <v>420</v>
      </c>
      <c r="G151" s="12" t="s">
        <v>34</v>
      </c>
      <c r="H151" s="1" t="s">
        <v>464</v>
      </c>
      <c r="I151" s="1" t="s">
        <v>465</v>
      </c>
      <c r="J151" s="1"/>
    </row>
    <row r="152" customFormat="false" ht="14.5" hidden="true" customHeight="false" outlineLevel="0" collapsed="false">
      <c r="A152" s="11" t="n">
        <v>52</v>
      </c>
      <c r="B152" s="5" t="s">
        <v>114</v>
      </c>
      <c r="C152" s="5" t="s">
        <v>48</v>
      </c>
      <c r="D152" s="5" t="str">
        <f aca="false">IF(OR(LEFT(C152, 2)="SE", LEFT(C152, 2)="S4"), "C6", IF(LEFT(C152, 2)="S1", "C1", IF(OR(LEFT(C152, 2)="S2", LEFT(C152, 2)="S5"), "C3&amp;5", IF(LEFT(C152, 2)="S3", "C4", IF(LEFT(C152, 2)="SC", "C7", IF(LEFT(C152, 2)="S6", "C2", "Other"))))))</f>
        <v>C2</v>
      </c>
      <c r="E152" s="5" t="n">
        <v>1</v>
      </c>
      <c r="F152" s="5" t="s">
        <v>466</v>
      </c>
      <c r="G152" s="12" t="s">
        <v>125</v>
      </c>
      <c r="H152" s="5" t="s">
        <v>467</v>
      </c>
      <c r="I152" s="5" t="s">
        <v>468</v>
      </c>
      <c r="J152" s="5"/>
    </row>
    <row r="153" customFormat="false" ht="14.5" hidden="false" customHeight="false" outlineLevel="0" collapsed="false">
      <c r="A153" s="13" t="n">
        <v>52</v>
      </c>
      <c r="B153" s="1" t="s">
        <v>469</v>
      </c>
      <c r="C153" s="1" t="s">
        <v>1</v>
      </c>
      <c r="D153" s="1" t="str">
        <f aca="false">IF(OR(LEFT(C153, 2)="SE", LEFT(C153, 2)="S4"), "C6", IF(LEFT(C153, 2)="S1", "C1", IF(OR(LEFT(C153, 2)="S2", LEFT(C153, 2)="S5"), "C3&amp;5", IF(LEFT(C153, 2)="S3", "C4", IF(LEFT(C153, 2)="SC", "C7", IF(LEFT(C153, 2)="S6", "C2", "Other"))))))</f>
        <v>C7</v>
      </c>
      <c r="E153" s="1" t="n">
        <v>1</v>
      </c>
      <c r="F153" s="1" t="s">
        <v>454</v>
      </c>
      <c r="G153" s="12" t="s">
        <v>34</v>
      </c>
      <c r="H153" s="1" t="s">
        <v>470</v>
      </c>
      <c r="I153" s="1" t="s">
        <v>471</v>
      </c>
      <c r="J153" s="1"/>
    </row>
    <row r="154" customFormat="false" ht="14.5" hidden="true" customHeight="false" outlineLevel="0" collapsed="false">
      <c r="A154" s="11" t="n">
        <v>52</v>
      </c>
      <c r="B154" s="5" t="s">
        <v>472</v>
      </c>
      <c r="C154" s="5" t="s">
        <v>48</v>
      </c>
      <c r="D154" s="5" t="str">
        <f aca="false">IF(OR(LEFT(C154, 2)="SE", LEFT(C154, 2)="S4"), "C6", IF(LEFT(C154, 2)="S1", "C1", IF(OR(LEFT(C154, 2)="S2", LEFT(C154, 2)="S5"), "C3&amp;5", IF(LEFT(C154, 2)="S3", "C4", IF(LEFT(C154, 2)="SC", "C7", IF(LEFT(C154, 2)="S6", "C2", "Other"))))))</f>
        <v>C2</v>
      </c>
      <c r="E154" s="5" t="n">
        <v>1</v>
      </c>
      <c r="F154" s="5" t="s">
        <v>438</v>
      </c>
      <c r="G154" s="12" t="s">
        <v>34</v>
      </c>
      <c r="H154" s="5" t="s">
        <v>473</v>
      </c>
      <c r="I154" s="5" t="s">
        <v>474</v>
      </c>
      <c r="J154" s="5"/>
    </row>
    <row r="155" customFormat="false" ht="14.5" hidden="true" customHeight="false" outlineLevel="0" collapsed="false">
      <c r="A155" s="13" t="n">
        <v>52</v>
      </c>
      <c r="B155" s="1" t="s">
        <v>475</v>
      </c>
      <c r="C155" s="1" t="s">
        <v>81</v>
      </c>
      <c r="D155" s="1" t="str">
        <f aca="false">IF(OR(LEFT(C155, 2)="SE", LEFT(C155, 2)="S4"), "C6", IF(LEFT(C155, 2)="S1", "C1", IF(OR(LEFT(C155, 2)="S2", LEFT(C155, 2)="S5"), "C3&amp;5", IF(LEFT(C155, 2)="S3", "C4", IF(LEFT(C155, 2)="SC", "C7", IF(LEFT(C155, 2)="S6", "C2", "Other"))))))</f>
        <v>C3&amp;5</v>
      </c>
      <c r="E155" s="1" t="n">
        <v>2</v>
      </c>
      <c r="F155" s="1" t="s">
        <v>420</v>
      </c>
      <c r="G155" s="12" t="s">
        <v>34</v>
      </c>
      <c r="H155" s="1" t="s">
        <v>476</v>
      </c>
      <c r="I155" s="1" t="s">
        <v>477</v>
      </c>
      <c r="J155" s="1"/>
    </row>
    <row r="156" customFormat="false" ht="14.5" hidden="true" customHeight="false" outlineLevel="0" collapsed="false">
      <c r="A156" s="11" t="n">
        <v>52</v>
      </c>
      <c r="B156" s="5" t="s">
        <v>478</v>
      </c>
      <c r="C156" s="5" t="s">
        <v>81</v>
      </c>
      <c r="D156" s="5" t="str">
        <f aca="false">IF(OR(LEFT(C156, 2)="SE", LEFT(C156, 2)="S4"), "C6", IF(LEFT(C156, 2)="S1", "C1", IF(OR(LEFT(C156, 2)="S2", LEFT(C156, 2)="S5"), "C3&amp;5", IF(LEFT(C156, 2)="S3", "C4", IF(LEFT(C156, 2)="SC", "C7", IF(LEFT(C156, 2)="S6", "C2", "Other"))))))</f>
        <v>C3&amp;5</v>
      </c>
      <c r="E156" s="5" t="n">
        <v>2</v>
      </c>
      <c r="F156" s="5" t="s">
        <v>479</v>
      </c>
      <c r="G156" s="12" t="s">
        <v>34</v>
      </c>
      <c r="H156" s="5" t="s">
        <v>480</v>
      </c>
      <c r="I156" s="5" t="s">
        <v>481</v>
      </c>
      <c r="J156" s="5"/>
    </row>
    <row r="157" customFormat="false" ht="14.5" hidden="true" customHeight="false" outlineLevel="0" collapsed="false">
      <c r="A157" s="13" t="n">
        <v>52</v>
      </c>
      <c r="B157" s="1" t="s">
        <v>482</v>
      </c>
      <c r="C157" s="1" t="s">
        <v>48</v>
      </c>
      <c r="D157" s="1" t="str">
        <f aca="false">IF(OR(LEFT(C157, 2)="SE", LEFT(C157, 2)="S4"), "C6", IF(LEFT(C157, 2)="S1", "C1", IF(OR(LEFT(C157, 2)="S2", LEFT(C157, 2)="S5"), "C3&amp;5", IF(LEFT(C157, 2)="S3", "C4", IF(LEFT(C157, 2)="SC", "C7", IF(LEFT(C157, 2)="S6", "C2", "Other"))))))</f>
        <v>C2</v>
      </c>
      <c r="E157" s="1" t="n">
        <v>1</v>
      </c>
      <c r="F157" s="1" t="s">
        <v>428</v>
      </c>
      <c r="G157" s="12" t="s">
        <v>34</v>
      </c>
      <c r="H157" s="1" t="s">
        <v>483</v>
      </c>
      <c r="I157" s="1" t="s">
        <v>484</v>
      </c>
      <c r="J157" s="1"/>
    </row>
    <row r="158" customFormat="false" ht="14.5" hidden="true" customHeight="false" outlineLevel="0" collapsed="false">
      <c r="A158" s="11" t="n">
        <v>52</v>
      </c>
      <c r="B158" s="5" t="s">
        <v>485</v>
      </c>
      <c r="C158" s="5" t="s">
        <v>206</v>
      </c>
      <c r="D158" s="5" t="str">
        <f aca="false">IF(OR(LEFT(C158, 2)="SE", LEFT(C158, 2)="S4"), "C6", IF(LEFT(C158, 2)="S1", "C1", IF(OR(LEFT(C158, 2)="S2", LEFT(C158, 2)="S5"), "C3&amp;5", IF(LEFT(C158, 2)="S3", "C4", IF(LEFT(C158, 2)="SC", "C7", IF(LEFT(C158, 2)="S6", "C2", "Other"))))))</f>
        <v>C1</v>
      </c>
      <c r="E158" s="5" t="n">
        <v>1</v>
      </c>
      <c r="F158" s="5" t="s">
        <v>420</v>
      </c>
      <c r="G158" s="12" t="s">
        <v>34</v>
      </c>
      <c r="H158" s="5" t="s">
        <v>486</v>
      </c>
      <c r="I158" s="5" t="s">
        <v>487</v>
      </c>
      <c r="J158" s="5"/>
    </row>
    <row r="159" customFormat="false" ht="14.5" hidden="true" customHeight="false" outlineLevel="0" collapsed="false">
      <c r="A159" s="13" t="n">
        <v>52</v>
      </c>
      <c r="B159" s="1" t="s">
        <v>488</v>
      </c>
      <c r="C159" s="1" t="s">
        <v>103</v>
      </c>
      <c r="D159" s="1" t="str">
        <f aca="false">IF(OR(LEFT(C159, 2)="SE", LEFT(C159, 2)="S4"), "C6", IF(LEFT(C159, 2)="S1", "C1", IF(OR(LEFT(C159, 2)="S2", LEFT(C159, 2)="S5"), "C3&amp;5", IF(LEFT(C159, 2)="S3", "C4", IF(LEFT(C159, 2)="SC", "C7", IF(LEFT(C159, 2)="S6", "C2", "Other"))))))</f>
        <v>C6</v>
      </c>
      <c r="E159" s="1" t="n">
        <v>1</v>
      </c>
      <c r="F159" s="1" t="s">
        <v>428</v>
      </c>
      <c r="G159" s="12" t="s">
        <v>34</v>
      </c>
      <c r="H159" s="1" t="s">
        <v>489</v>
      </c>
      <c r="I159" s="1" t="s">
        <v>490</v>
      </c>
      <c r="J159" s="1"/>
    </row>
    <row r="160" customFormat="false" ht="14.5" hidden="true" customHeight="false" outlineLevel="0" collapsed="false">
      <c r="A160" s="11" t="n">
        <v>52</v>
      </c>
      <c r="B160" s="5" t="s">
        <v>491</v>
      </c>
      <c r="C160" s="5" t="s">
        <v>206</v>
      </c>
      <c r="D160" s="5" t="str">
        <f aca="false">IF(OR(LEFT(C160, 2)="SE", LEFT(C160, 2)="S4"), "C6", IF(LEFT(C160, 2)="S1", "C1", IF(OR(LEFT(C160, 2)="S2", LEFT(C160, 2)="S5"), "C3&amp;5", IF(LEFT(C160, 2)="S3", "C4", IF(LEFT(C160, 2)="SC", "C7", IF(LEFT(C160, 2)="S6", "C2", "Other"))))))</f>
        <v>C1</v>
      </c>
      <c r="E160" s="5" t="n">
        <v>2</v>
      </c>
      <c r="F160" s="5" t="s">
        <v>448</v>
      </c>
      <c r="G160" s="12" t="s">
        <v>125</v>
      </c>
      <c r="H160" s="5" t="s">
        <v>492</v>
      </c>
      <c r="I160" s="5" t="s">
        <v>493</v>
      </c>
      <c r="J160" s="5"/>
    </row>
    <row r="161" customFormat="false" ht="14.5" hidden="false" customHeight="false" outlineLevel="0" collapsed="false">
      <c r="A161" s="13" t="n">
        <v>52</v>
      </c>
      <c r="B161" s="1" t="s">
        <v>494</v>
      </c>
      <c r="C161" s="1" t="s">
        <v>1</v>
      </c>
      <c r="D161" s="1" t="str">
        <f aca="false">IF(OR(LEFT(C161, 2)="SE", LEFT(C161, 2)="S4"), "C6", IF(LEFT(C161, 2)="S1", "C1", IF(OR(LEFT(C161, 2)="S2", LEFT(C161, 2)="S5"), "C3&amp;5", IF(LEFT(C161, 2)="S3", "C4", IF(LEFT(C161, 2)="SC", "C7", IF(LEFT(C161, 2)="S6", "C2", "Other"))))))</f>
        <v>C7</v>
      </c>
      <c r="E161" s="1" t="n">
        <v>1</v>
      </c>
      <c r="F161" s="1" t="s">
        <v>495</v>
      </c>
      <c r="G161" s="12" t="s">
        <v>34</v>
      </c>
      <c r="H161" s="1" t="s">
        <v>496</v>
      </c>
      <c r="I161" s="1" t="s">
        <v>497</v>
      </c>
      <c r="J161" s="1"/>
    </row>
    <row r="162" customFormat="false" ht="14.5" hidden="true" customHeight="false" outlineLevel="0" collapsed="false">
      <c r="A162" s="11" t="n">
        <v>52</v>
      </c>
      <c r="B162" s="5" t="s">
        <v>498</v>
      </c>
      <c r="C162" s="5" t="s">
        <v>48</v>
      </c>
      <c r="D162" s="5" t="str">
        <f aca="false">IF(OR(LEFT(C162, 2)="SE", LEFT(C162, 2)="S4"), "C6", IF(LEFT(C162, 2)="S1", "C1", IF(OR(LEFT(C162, 2)="S2", LEFT(C162, 2)="S5"), "C3&amp;5", IF(LEFT(C162, 2)="S3", "C4", IF(LEFT(C162, 2)="SC", "C7", IF(LEFT(C162, 2)="S6", "C2", "Other"))))))</f>
        <v>C2</v>
      </c>
      <c r="E162" s="5" t="n">
        <v>1</v>
      </c>
      <c r="F162" s="5" t="s">
        <v>499</v>
      </c>
      <c r="G162" s="12" t="s">
        <v>34</v>
      </c>
      <c r="H162" s="5" t="s">
        <v>500</v>
      </c>
      <c r="I162" s="5" t="s">
        <v>501</v>
      </c>
      <c r="J162" s="5"/>
    </row>
    <row r="163" customFormat="false" ht="14.5" hidden="false" customHeight="false" outlineLevel="0" collapsed="false">
      <c r="A163" s="13" t="n">
        <v>53</v>
      </c>
      <c r="B163" s="1" t="s">
        <v>123</v>
      </c>
      <c r="C163" s="1" t="s">
        <v>1</v>
      </c>
      <c r="D163" s="1" t="str">
        <f aca="false">IF(OR(LEFT(C163, 2)="SE", LEFT(C163, 2)="S4"), "C6", IF(LEFT(C163, 2)="S1", "C1", IF(OR(LEFT(C163, 2)="S2", LEFT(C163, 2)="S5"), "C3&amp;5", IF(LEFT(C163, 2)="S3", "C4", IF(LEFT(C163, 2)="SC", "C7", IF(LEFT(C163, 2)="S6", "C2", "Other"))))))</f>
        <v>C7</v>
      </c>
      <c r="E163" s="1" t="n">
        <v>1</v>
      </c>
      <c r="F163" s="1" t="s">
        <v>502</v>
      </c>
      <c r="G163" s="12" t="s">
        <v>34</v>
      </c>
      <c r="H163" s="1" t="s">
        <v>503</v>
      </c>
      <c r="I163" s="1" t="s">
        <v>504</v>
      </c>
      <c r="J163" s="1"/>
    </row>
    <row r="164" customFormat="false" ht="14.5" hidden="false" customHeight="false" outlineLevel="0" collapsed="false">
      <c r="A164" s="11" t="n">
        <v>54</v>
      </c>
      <c r="B164" s="5" t="s">
        <v>123</v>
      </c>
      <c r="C164" s="5" t="s">
        <v>1</v>
      </c>
      <c r="D164" s="5" t="str">
        <f aca="false">IF(OR(LEFT(C164, 2)="SE", LEFT(C164, 2)="S4"), "C6", IF(LEFT(C164, 2)="S1", "C1", IF(OR(LEFT(C164, 2)="S2", LEFT(C164, 2)="S5"), "C3&amp;5", IF(LEFT(C164, 2)="S3", "C4", IF(LEFT(C164, 2)="SC", "C7", IF(LEFT(C164, 2)="S6", "C2", "Other"))))))</f>
        <v>C7</v>
      </c>
      <c r="E164" s="5" t="n">
        <v>1</v>
      </c>
      <c r="F164" s="5" t="s">
        <v>505</v>
      </c>
      <c r="G164" s="12" t="s">
        <v>125</v>
      </c>
      <c r="H164" s="5" t="s">
        <v>506</v>
      </c>
      <c r="I164" s="5" t="s">
        <v>507</v>
      </c>
      <c r="J164" s="5"/>
    </row>
    <row r="165" customFormat="false" ht="14.5" hidden="true" customHeight="false" outlineLevel="0" collapsed="false">
      <c r="A165" s="13" t="n">
        <v>54</v>
      </c>
      <c r="B165" s="1" t="s">
        <v>31</v>
      </c>
      <c r="C165" s="1" t="s">
        <v>103</v>
      </c>
      <c r="D165" s="1" t="str">
        <f aca="false">IF(OR(LEFT(C165, 2)="SE", LEFT(C165, 2)="S4"), "C6", IF(LEFT(C165, 2)="S1", "C1", IF(OR(LEFT(C165, 2)="S2", LEFT(C165, 2)="S5"), "C3&amp;5", IF(LEFT(C165, 2)="S3", "C4", IF(LEFT(C165, 2)="SC", "C7", IF(LEFT(C165, 2)="S6", "C2", "Other"))))))</f>
        <v>C6</v>
      </c>
      <c r="E165" s="1" t="n">
        <v>1</v>
      </c>
      <c r="F165" s="1" t="s">
        <v>508</v>
      </c>
      <c r="G165" s="12" t="s">
        <v>34</v>
      </c>
      <c r="H165" s="1" t="s">
        <v>509</v>
      </c>
      <c r="I165" s="1" t="s">
        <v>510</v>
      </c>
      <c r="J165" s="1"/>
    </row>
    <row r="166" customFormat="false" ht="14.5" hidden="true" customHeight="false" outlineLevel="0" collapsed="false">
      <c r="A166" s="20" t="n">
        <v>54</v>
      </c>
      <c r="B166" s="5" t="s">
        <v>37</v>
      </c>
      <c r="C166" s="5" t="s">
        <v>56</v>
      </c>
      <c r="D166" s="5" t="str">
        <f aca="false">IF(OR(LEFT(C166, 2)="SE", LEFT(C166, 2)="S4"), "C6", IF(LEFT(C166, 2)="S1", "C1", IF(OR(LEFT(C166, 2)="S2", LEFT(C166, 2)="S5"), "C3&amp;5", IF(LEFT(C166, 2)="S3", "C4", IF(LEFT(C166, 2)="SC", "C7", IF(LEFT(C166, 2)="S6", "C2", "Other"))))))</f>
        <v>C4</v>
      </c>
      <c r="E166" s="5" t="n">
        <v>1</v>
      </c>
      <c r="F166" s="26" t="s">
        <v>511</v>
      </c>
      <c r="G166" s="12" t="s">
        <v>34</v>
      </c>
      <c r="H166" s="5" t="s">
        <v>512</v>
      </c>
      <c r="I166" s="5" t="s">
        <v>513</v>
      </c>
      <c r="J166" s="5"/>
    </row>
    <row r="167" customFormat="false" ht="14.5" hidden="true" customHeight="false" outlineLevel="0" collapsed="false">
      <c r="A167" s="16" t="n">
        <v>54</v>
      </c>
      <c r="B167" s="1" t="s">
        <v>42</v>
      </c>
      <c r="C167" s="1" t="s">
        <v>56</v>
      </c>
      <c r="D167" s="1" t="str">
        <f aca="false">IF(OR(LEFT(C167, 2)="SE", LEFT(C167, 2)="S4"), "C6", IF(LEFT(C167, 2)="S1", "C1", IF(OR(LEFT(C167, 2)="S2", LEFT(C167, 2)="S5"), "C3&amp;5", IF(LEFT(C167, 2)="S3", "C4", IF(LEFT(C167, 2)="SC", "C7", IF(LEFT(C167, 2)="S6", "C2", "Other"))))))</f>
        <v>C4</v>
      </c>
      <c r="E167" s="1" t="n">
        <v>1</v>
      </c>
      <c r="F167" s="1" t="s">
        <v>16</v>
      </c>
      <c r="G167" s="12" t="s">
        <v>34</v>
      </c>
      <c r="H167" s="1" t="s">
        <v>514</v>
      </c>
      <c r="I167" s="1" t="s">
        <v>515</v>
      </c>
      <c r="J167" s="1"/>
    </row>
    <row r="168" customFormat="false" ht="14.5" hidden="true" customHeight="false" outlineLevel="0" collapsed="false">
      <c r="A168" s="23" t="n">
        <v>55</v>
      </c>
      <c r="B168" s="5" t="s">
        <v>123</v>
      </c>
      <c r="C168" s="5" t="s">
        <v>75</v>
      </c>
      <c r="D168" s="5" t="str">
        <f aca="false">IF(OR(LEFT(C168, 2)="SE", LEFT(C168, 2)="S4"), "C6", IF(LEFT(C168, 2)="S1", "C1", IF(OR(LEFT(C168, 2)="S2", LEFT(C168, 2)="S5"), "C3&amp;5", IF(LEFT(C168, 2)="S3", "C4", IF(LEFT(C168, 2)="SC", "C7", IF(LEFT(C168, 2)="S6", "C2", "Other"))))))</f>
        <v>C3&amp;5</v>
      </c>
      <c r="E168" s="5" t="n">
        <v>1</v>
      </c>
      <c r="F168" s="5" t="s">
        <v>516</v>
      </c>
      <c r="G168" s="12" t="e">
        <f aca="false">#N/A</f>
        <v>#N/A</v>
      </c>
      <c r="H168" s="5" t="s">
        <v>517</v>
      </c>
      <c r="I168" s="5" t="s">
        <v>518</v>
      </c>
      <c r="J168" s="5"/>
    </row>
    <row r="169" customFormat="false" ht="14.5" hidden="true" customHeight="false" outlineLevel="0" collapsed="false">
      <c r="A169" s="13" t="n">
        <v>56</v>
      </c>
      <c r="B169" s="1" t="s">
        <v>31</v>
      </c>
      <c r="C169" s="1" t="s">
        <v>48</v>
      </c>
      <c r="D169" s="1" t="str">
        <f aca="false">IF(OR(LEFT(C169, 2)="SE", LEFT(C169, 2)="S4"), "C6", IF(LEFT(C169, 2)="S1", "C1", IF(OR(LEFT(C169, 2)="S2", LEFT(C169, 2)="S5"), "C3&amp;5", IF(LEFT(C169, 2)="S3", "C4", IF(LEFT(C169, 2)="SC", "C7", IF(LEFT(C169, 2)="S6", "C2", "Other"))))))</f>
        <v>C2</v>
      </c>
      <c r="E169" s="1" t="n">
        <v>1</v>
      </c>
      <c r="F169" s="1" t="s">
        <v>519</v>
      </c>
      <c r="G169" s="12" t="s">
        <v>34</v>
      </c>
      <c r="H169" s="1" t="s">
        <v>520</v>
      </c>
      <c r="I169" s="1" t="s">
        <v>521</v>
      </c>
      <c r="J169" s="1"/>
    </row>
    <row r="170" customFormat="false" ht="14.5" hidden="true" customHeight="false" outlineLevel="0" collapsed="false">
      <c r="A170" s="11" t="n">
        <v>58</v>
      </c>
      <c r="B170" s="5" t="s">
        <v>31</v>
      </c>
      <c r="C170" s="5" t="s">
        <v>48</v>
      </c>
      <c r="D170" s="5" t="str">
        <f aca="false">IF(OR(LEFT(C170, 2)="SE", LEFT(C170, 2)="S4"), "C6", IF(LEFT(C170, 2)="S1", "C1", IF(OR(LEFT(C170, 2)="S2", LEFT(C170, 2)="S5"), "C3&amp;5", IF(LEFT(C170, 2)="S3", "C4", IF(LEFT(C170, 2)="SC", "C7", IF(LEFT(C170, 2)="S6", "C2", "Other"))))))</f>
        <v>C2</v>
      </c>
      <c r="E170" s="5" t="n">
        <v>1</v>
      </c>
      <c r="F170" s="5" t="s">
        <v>522</v>
      </c>
      <c r="G170" s="12" t="s">
        <v>34</v>
      </c>
      <c r="H170" s="5" t="s">
        <v>523</v>
      </c>
      <c r="I170" s="5" t="s">
        <v>524</v>
      </c>
      <c r="J170" s="5"/>
    </row>
    <row r="171" customFormat="false" ht="14.5" hidden="true" customHeight="false" outlineLevel="0" collapsed="false">
      <c r="A171" s="13" t="n">
        <v>58</v>
      </c>
      <c r="B171" s="1" t="s">
        <v>37</v>
      </c>
      <c r="C171" s="1" t="s">
        <v>377</v>
      </c>
      <c r="D171" s="1" t="str">
        <f aca="false">IF(OR(LEFT(C171, 2)="SE", LEFT(C171, 2)="S4"), "C6", IF(LEFT(C171, 2)="S1", "C1", IF(OR(LEFT(C171, 2)="S2", LEFT(C171, 2)="S5"), "C3&amp;5", IF(LEFT(C171, 2)="S3", "C4", IF(LEFT(C171, 2)="SC", "C7", IF(LEFT(C171, 2)="S6", "C2", "Other"))))))</f>
        <v>C6</v>
      </c>
      <c r="E171" s="1" t="n">
        <v>1</v>
      </c>
      <c r="F171" s="1" t="s">
        <v>525</v>
      </c>
      <c r="G171" s="12" t="s">
        <v>34</v>
      </c>
      <c r="H171" s="1" t="s">
        <v>526</v>
      </c>
      <c r="I171" s="1" t="s">
        <v>527</v>
      </c>
      <c r="J171" s="1"/>
    </row>
    <row r="172" customFormat="false" ht="14.5" hidden="true" customHeight="false" outlineLevel="0" collapsed="false">
      <c r="A172" s="20" t="n">
        <v>58</v>
      </c>
      <c r="B172" s="5" t="s">
        <v>42</v>
      </c>
      <c r="C172" s="5" t="s">
        <v>56</v>
      </c>
      <c r="D172" s="5" t="str">
        <f aca="false">IF(OR(LEFT(C172, 2)="SE", LEFT(C172, 2)="S4"), "C6", IF(LEFT(C172, 2)="S1", "C1", IF(OR(LEFT(C172, 2)="S2", LEFT(C172, 2)="S5"), "C3&amp;5", IF(LEFT(C172, 2)="S3", "C4", IF(LEFT(C172, 2)="SC", "C7", IF(LEFT(C172, 2)="S6", "C2", "Other"))))))</f>
        <v>C4</v>
      </c>
      <c r="E172" s="5" t="n">
        <v>2</v>
      </c>
      <c r="F172" s="5" t="s">
        <v>528</v>
      </c>
      <c r="G172" s="12" t="s">
        <v>34</v>
      </c>
      <c r="H172" s="5" t="s">
        <v>529</v>
      </c>
      <c r="I172" s="5" t="s">
        <v>530</v>
      </c>
      <c r="J172" s="5"/>
    </row>
    <row r="173" customFormat="false" ht="14.5" hidden="false" customHeight="false" outlineLevel="0" collapsed="false">
      <c r="A173" s="13" t="n">
        <v>59</v>
      </c>
      <c r="B173" s="1" t="s">
        <v>31</v>
      </c>
      <c r="C173" s="1" t="s">
        <v>1</v>
      </c>
      <c r="D173" s="1" t="str">
        <f aca="false">IF(OR(LEFT(C173, 2)="SE", LEFT(C173, 2)="S4"), "C6", IF(LEFT(C173, 2)="S1", "C1", IF(OR(LEFT(C173, 2)="S2", LEFT(C173, 2)="S5"), "C3&amp;5", IF(LEFT(C173, 2)="S3", "C4", IF(LEFT(C173, 2)="SC", "C7", IF(LEFT(C173, 2)="S6", "C2", "Other"))))))</f>
        <v>C7</v>
      </c>
      <c r="E173" s="1" t="n">
        <v>1</v>
      </c>
      <c r="F173" s="1" t="s">
        <v>531</v>
      </c>
      <c r="G173" s="12" t="s">
        <v>34</v>
      </c>
      <c r="H173" s="1" t="s">
        <v>532</v>
      </c>
      <c r="I173" s="1" t="s">
        <v>533</v>
      </c>
      <c r="J173" s="1"/>
    </row>
    <row r="174" customFormat="false" ht="14.5" hidden="true" customHeight="false" outlineLevel="0" collapsed="false">
      <c r="A174" s="11" t="n">
        <v>59</v>
      </c>
      <c r="B174" s="5" t="s">
        <v>42</v>
      </c>
      <c r="C174" s="5" t="s">
        <v>48</v>
      </c>
      <c r="D174" s="5" t="str">
        <f aca="false">IF(OR(LEFT(C174, 2)="SE", LEFT(C174, 2)="S4"), "C6", IF(LEFT(C174, 2)="S1", "C1", IF(OR(LEFT(C174, 2)="S2", LEFT(C174, 2)="S5"), "C3&amp;5", IF(LEFT(C174, 2)="S3", "C4", IF(LEFT(C174, 2)="SC", "C7", IF(LEFT(C174, 2)="S6", "C2", "Other"))))))</f>
        <v>C2</v>
      </c>
      <c r="E174" s="5" t="n">
        <v>1</v>
      </c>
      <c r="F174" s="5" t="s">
        <v>534</v>
      </c>
      <c r="G174" s="12" t="s">
        <v>34</v>
      </c>
      <c r="H174" s="5" t="s">
        <v>535</v>
      </c>
      <c r="I174" s="5" t="s">
        <v>536</v>
      </c>
      <c r="J174" s="5"/>
    </row>
    <row r="175" customFormat="false" ht="14.5" hidden="true" customHeight="false" outlineLevel="0" collapsed="false">
      <c r="A175" s="13" t="n">
        <v>59</v>
      </c>
      <c r="B175" s="1" t="s">
        <v>47</v>
      </c>
      <c r="C175" s="1" t="s">
        <v>48</v>
      </c>
      <c r="D175" s="1" t="str">
        <f aca="false">IF(OR(LEFT(C175, 2)="SE", LEFT(C175, 2)="S4"), "C6", IF(LEFT(C175, 2)="S1", "C1", IF(OR(LEFT(C175, 2)="S2", LEFT(C175, 2)="S5"), "C3&amp;5", IF(LEFT(C175, 2)="S3", "C4", IF(LEFT(C175, 2)="SC", "C7", IF(LEFT(C175, 2)="S6", "C2", "Other"))))))</f>
        <v>C2</v>
      </c>
      <c r="E175" s="1" t="n">
        <v>1</v>
      </c>
      <c r="F175" s="1" t="s">
        <v>537</v>
      </c>
      <c r="G175" s="12" t="s">
        <v>34</v>
      </c>
      <c r="H175" s="1" t="s">
        <v>538</v>
      </c>
      <c r="I175" s="1" t="s">
        <v>539</v>
      </c>
      <c r="J175" s="1"/>
    </row>
    <row r="176" customFormat="false" ht="14.5" hidden="true" customHeight="false" outlineLevel="0" collapsed="false">
      <c r="A176" s="11" t="n">
        <v>60</v>
      </c>
      <c r="B176" s="5" t="s">
        <v>123</v>
      </c>
      <c r="C176" s="5" t="s">
        <v>48</v>
      </c>
      <c r="D176" s="5" t="str">
        <f aca="false">IF(OR(LEFT(C176, 2)="SE", LEFT(C176, 2)="S4"), "C6", IF(LEFT(C176, 2)="S1", "C1", IF(OR(LEFT(C176, 2)="S2", LEFT(C176, 2)="S5"), "C3&amp;5", IF(LEFT(C176, 2)="S3", "C4", IF(LEFT(C176, 2)="SC", "C7", IF(LEFT(C176, 2)="S6", "C2", "Other"))))))</f>
        <v>C2</v>
      </c>
      <c r="E176" s="5" t="n">
        <v>1</v>
      </c>
      <c r="F176" s="5" t="s">
        <v>540</v>
      </c>
      <c r="G176" s="12" t="s">
        <v>34</v>
      </c>
      <c r="H176" s="5" t="s">
        <v>541</v>
      </c>
      <c r="I176" s="5" t="s">
        <v>542</v>
      </c>
      <c r="J176" s="5"/>
    </row>
    <row r="177" customFormat="false" ht="14.5" hidden="false" customHeight="false" outlineLevel="0" collapsed="false">
      <c r="A177" s="13" t="n">
        <v>60</v>
      </c>
      <c r="B177" s="1" t="s">
        <v>31</v>
      </c>
      <c r="C177" s="1" t="s">
        <v>1</v>
      </c>
      <c r="D177" s="1" t="str">
        <f aca="false">IF(OR(LEFT(C177, 2)="SE", LEFT(C177, 2)="S4"), "C6", IF(LEFT(C177, 2)="S1", "C1", IF(OR(LEFT(C177, 2)="S2", LEFT(C177, 2)="S5"), "C3&amp;5", IF(LEFT(C177, 2)="S3", "C4", IF(LEFT(C177, 2)="SC", "C7", IF(LEFT(C177, 2)="S6", "C2", "Other"))))))</f>
        <v>C7</v>
      </c>
      <c r="E177" s="1" t="n">
        <v>1</v>
      </c>
      <c r="F177" s="1" t="s">
        <v>543</v>
      </c>
      <c r="G177" s="12" t="s">
        <v>34</v>
      </c>
      <c r="H177" s="1" t="s">
        <v>544</v>
      </c>
      <c r="I177" s="1" t="s">
        <v>545</v>
      </c>
      <c r="J177" s="1"/>
    </row>
    <row r="178" customFormat="false" ht="14.5" hidden="true" customHeight="false" outlineLevel="0" collapsed="false">
      <c r="A178" s="11" t="n">
        <v>61</v>
      </c>
      <c r="B178" s="5" t="s">
        <v>123</v>
      </c>
      <c r="C178" s="5" t="s">
        <v>48</v>
      </c>
      <c r="D178" s="5" t="str">
        <f aca="false">IF(OR(LEFT(C178, 2)="SE", LEFT(C178, 2)="S4"), "C6", IF(LEFT(C178, 2)="S1", "C1", IF(OR(LEFT(C178, 2)="S2", LEFT(C178, 2)="S5"), "C3&amp;5", IF(LEFT(C178, 2)="S3", "C4", IF(LEFT(C178, 2)="SC", "C7", IF(LEFT(C178, 2)="S6", "C2", "Other"))))))</f>
        <v>C2</v>
      </c>
      <c r="E178" s="5" t="n">
        <v>1</v>
      </c>
      <c r="F178" s="5" t="s">
        <v>546</v>
      </c>
      <c r="G178" s="12" t="s">
        <v>77</v>
      </c>
      <c r="H178" s="5" t="s">
        <v>547</v>
      </c>
      <c r="I178" s="5" t="s">
        <v>548</v>
      </c>
      <c r="J178" s="5"/>
    </row>
    <row r="179" customFormat="false" ht="14.5" hidden="true" customHeight="false" outlineLevel="0" collapsed="false">
      <c r="A179" s="13" t="n">
        <v>61</v>
      </c>
      <c r="B179" s="1" t="s">
        <v>31</v>
      </c>
      <c r="C179" s="1" t="s">
        <v>43</v>
      </c>
      <c r="D179" s="1" t="str">
        <f aca="false">IF(OR(LEFT(C179, 2)="SE", LEFT(C179, 2)="S4"), "C6", IF(LEFT(C179, 2)="S1", "C1", IF(OR(LEFT(C179, 2)="S2", LEFT(C179, 2)="S5"), "C3&amp;5", IF(LEFT(C179, 2)="S3", "C4", IF(LEFT(C179, 2)="SC", "C7", IF(LEFT(C179, 2)="S6", "C2", "Other"))))))</f>
        <v>C2</v>
      </c>
      <c r="E179" s="1" t="n">
        <v>1</v>
      </c>
      <c r="F179" s="1" t="s">
        <v>549</v>
      </c>
      <c r="G179" s="12" t="s">
        <v>34</v>
      </c>
      <c r="H179" s="1" t="s">
        <v>550</v>
      </c>
      <c r="I179" s="1" t="s">
        <v>551</v>
      </c>
      <c r="J179" s="1"/>
    </row>
    <row r="180" customFormat="false" ht="14.5" hidden="false" customHeight="false" outlineLevel="0" collapsed="false">
      <c r="A180" s="11" t="n">
        <v>61</v>
      </c>
      <c r="B180" s="5" t="s">
        <v>37</v>
      </c>
      <c r="C180" s="5" t="s">
        <v>1</v>
      </c>
      <c r="D180" s="5" t="str">
        <f aca="false">IF(OR(LEFT(C180, 2)="SE", LEFT(C180, 2)="S4"), "C6", IF(LEFT(C180, 2)="S1", "C1", IF(OR(LEFT(C180, 2)="S2", LEFT(C180, 2)="S5"), "C3&amp;5", IF(LEFT(C180, 2)="S3", "C4", IF(LEFT(C180, 2)="SC", "C7", IF(LEFT(C180, 2)="S6", "C2", "Other"))))))</f>
        <v>C7</v>
      </c>
      <c r="E180" s="5" t="n">
        <v>1</v>
      </c>
      <c r="F180" s="5" t="s">
        <v>549</v>
      </c>
      <c r="G180" s="12" t="s">
        <v>34</v>
      </c>
      <c r="H180" s="5" t="s">
        <v>552</v>
      </c>
      <c r="I180" s="5" t="s">
        <v>553</v>
      </c>
      <c r="J180" s="5"/>
    </row>
    <row r="181" customFormat="false" ht="14.5" hidden="true" customHeight="false" outlineLevel="0" collapsed="false">
      <c r="A181" s="13" t="n">
        <v>61</v>
      </c>
      <c r="B181" s="1" t="s">
        <v>42</v>
      </c>
      <c r="C181" s="1" t="s">
        <v>48</v>
      </c>
      <c r="D181" s="1" t="str">
        <f aca="false">IF(OR(LEFT(C181, 2)="SE", LEFT(C181, 2)="S4"), "C6", IF(LEFT(C181, 2)="S1", "C1", IF(OR(LEFT(C181, 2)="S2", LEFT(C181, 2)="S5"), "C3&amp;5", IF(LEFT(C181, 2)="S3", "C4", IF(LEFT(C181, 2)="SC", "C7", IF(LEFT(C181, 2)="S6", "C2", "Other"))))))</f>
        <v>C2</v>
      </c>
      <c r="E181" s="1" t="n">
        <v>1</v>
      </c>
      <c r="F181" s="1" t="s">
        <v>554</v>
      </c>
      <c r="G181" s="12" t="s">
        <v>34</v>
      </c>
      <c r="H181" s="1" t="s">
        <v>555</v>
      </c>
      <c r="I181" s="1" t="s">
        <v>556</v>
      </c>
      <c r="J181" s="1"/>
    </row>
    <row r="182" customFormat="false" ht="14.5" hidden="true" customHeight="false" outlineLevel="0" collapsed="false">
      <c r="A182" s="20" t="n">
        <v>61</v>
      </c>
      <c r="B182" s="5" t="s">
        <v>51</v>
      </c>
      <c r="C182" s="5" t="s">
        <v>75</v>
      </c>
      <c r="D182" s="5" t="str">
        <f aca="false">IF(OR(LEFT(C182, 2)="SE", LEFT(C182, 2)="S4"), "C6", IF(LEFT(C182, 2)="S1", "C1", IF(OR(LEFT(C182, 2)="S2", LEFT(C182, 2)="S5"), "C3&amp;5", IF(LEFT(C182, 2)="S3", "C4", IF(LEFT(C182, 2)="SC", "C7", IF(LEFT(C182, 2)="S6", "C2", "Other"))))))</f>
        <v>C3&amp;5</v>
      </c>
      <c r="E182" s="5" t="n">
        <v>1</v>
      </c>
      <c r="F182" s="5" t="s">
        <v>546</v>
      </c>
      <c r="G182" s="12" t="s">
        <v>77</v>
      </c>
      <c r="H182" s="5" t="s">
        <v>557</v>
      </c>
      <c r="I182" s="5" t="s">
        <v>558</v>
      </c>
      <c r="J182" s="5"/>
    </row>
    <row r="183" customFormat="false" ht="14.5" hidden="true" customHeight="false" outlineLevel="0" collapsed="false">
      <c r="A183" s="13" t="n">
        <v>61</v>
      </c>
      <c r="B183" s="1" t="s">
        <v>55</v>
      </c>
      <c r="C183" s="1" t="s">
        <v>65</v>
      </c>
      <c r="D183" s="1" t="str">
        <f aca="false">IF(OR(LEFT(C183, 2)="SE", LEFT(C183, 2)="S4"), "C6", IF(LEFT(C183, 2)="S1", "C1", IF(OR(LEFT(C183, 2)="S2", LEFT(C183, 2)="S5"), "C3&amp;5", IF(LEFT(C183, 2)="S3", "C4", IF(LEFT(C183, 2)="SC", "C7", IF(LEFT(C183, 2)="S6", "C2", "Other"))))))</f>
        <v>C6</v>
      </c>
      <c r="E183" s="1" t="n">
        <v>2</v>
      </c>
      <c r="F183" s="2" t="s">
        <v>559</v>
      </c>
      <c r="G183" s="12" t="s">
        <v>125</v>
      </c>
      <c r="H183" s="1" t="s">
        <v>560</v>
      </c>
      <c r="I183" s="1" t="s">
        <v>561</v>
      </c>
      <c r="J183" s="1"/>
    </row>
    <row r="184" customFormat="false" ht="14.5" hidden="true" customHeight="false" outlineLevel="0" collapsed="false">
      <c r="A184" s="11" t="n">
        <v>61</v>
      </c>
      <c r="B184" s="5" t="s">
        <v>71</v>
      </c>
      <c r="C184" s="5" t="s">
        <v>103</v>
      </c>
      <c r="D184" s="5" t="str">
        <f aca="false">IF(OR(LEFT(C184, 2)="SE", LEFT(C184, 2)="S4"), "C6", IF(LEFT(C184, 2)="S1", "C1", IF(OR(LEFT(C184, 2)="S2", LEFT(C184, 2)="S5"), "C3&amp;5", IF(LEFT(C184, 2)="S3", "C4", IF(LEFT(C184, 2)="SC", "C7", IF(LEFT(C184, 2)="S6", "C2", "Other"))))))</f>
        <v>C6</v>
      </c>
      <c r="E184" s="5" t="n">
        <v>1</v>
      </c>
      <c r="F184" s="26" t="s">
        <v>559</v>
      </c>
      <c r="G184" s="12" t="s">
        <v>125</v>
      </c>
      <c r="H184" s="5" t="s">
        <v>562</v>
      </c>
      <c r="I184" s="5" t="s">
        <v>563</v>
      </c>
      <c r="J184" s="5"/>
    </row>
    <row r="185" customFormat="false" ht="14.5" hidden="true" customHeight="false" outlineLevel="0" collapsed="false">
      <c r="A185" s="13" t="n">
        <v>61</v>
      </c>
      <c r="B185" s="1" t="s">
        <v>211</v>
      </c>
      <c r="C185" s="1" t="s">
        <v>65</v>
      </c>
      <c r="D185" s="1" t="str">
        <f aca="false">IF(OR(LEFT(C185, 2)="SE", LEFT(C185, 2)="S4"), "C6", IF(LEFT(C185, 2)="S1", "C1", IF(OR(LEFT(C185, 2)="S2", LEFT(C185, 2)="S5"), "C3&amp;5", IF(LEFT(C185, 2)="S3", "C4", IF(LEFT(C185, 2)="SC", "C7", IF(LEFT(C185, 2)="S6", "C2", "Other"))))))</f>
        <v>C6</v>
      </c>
      <c r="E185" s="1" t="n">
        <v>1</v>
      </c>
      <c r="F185" s="2" t="s">
        <v>564</v>
      </c>
      <c r="G185" s="12" t="s">
        <v>34</v>
      </c>
      <c r="H185" s="1" t="s">
        <v>565</v>
      </c>
      <c r="I185" s="1" t="s">
        <v>566</v>
      </c>
      <c r="J185" s="1"/>
    </row>
    <row r="186" customFormat="false" ht="14.5" hidden="true" customHeight="false" outlineLevel="0" collapsed="false">
      <c r="A186" s="5" t="n">
        <v>62</v>
      </c>
      <c r="B186" s="5" t="s">
        <v>123</v>
      </c>
      <c r="C186" s="5" t="s">
        <v>48</v>
      </c>
      <c r="D186" s="5" t="str">
        <f aca="false">IF(OR(LEFT(C186, 2)="SE", LEFT(C186, 2)="S4"), "C6", IF(LEFT(C186, 2)="S1", "C1", IF(OR(LEFT(C186, 2)="S2", LEFT(C186, 2)="S5"), "C3&amp;5", IF(LEFT(C186, 2)="S3", "C4", IF(LEFT(C186, 2)="SC", "C7", IF(LEFT(C186, 2)="S6", "C2", "Other"))))))</f>
        <v>C2</v>
      </c>
      <c r="E186" s="5" t="n">
        <v>9</v>
      </c>
      <c r="F186" s="5" t="s">
        <v>180</v>
      </c>
      <c r="G186" s="12" t="s">
        <v>77</v>
      </c>
      <c r="H186" s="5" t="s">
        <v>567</v>
      </c>
      <c r="I186" s="5" t="s">
        <v>568</v>
      </c>
      <c r="J186" s="5"/>
    </row>
    <row r="187" customFormat="false" ht="14.5" hidden="true" customHeight="false" outlineLevel="0" collapsed="false">
      <c r="A187" s="1" t="n">
        <v>62</v>
      </c>
      <c r="B187" s="1" t="s">
        <v>31</v>
      </c>
      <c r="C187" s="1" t="s">
        <v>32</v>
      </c>
      <c r="D187" s="1" t="str">
        <f aca="false">IF(OR(LEFT(C187, 2)="SE", LEFT(C187, 2)="S4"), "C6", IF(LEFT(C187, 2)="S1", "C1", IF(OR(LEFT(C187, 2)="S2", LEFT(C187, 2)="S5"), "C3&amp;5", IF(LEFT(C187, 2)="S3", "C4", IF(LEFT(C187, 2)="SC", "C7", IF(LEFT(C187, 2)="S6", "C2", "Other"))))))</f>
        <v>C6</v>
      </c>
      <c r="E187" s="1" t="n">
        <v>7</v>
      </c>
      <c r="F187" s="5" t="s">
        <v>569</v>
      </c>
      <c r="G187" s="12" t="s">
        <v>77</v>
      </c>
      <c r="H187" s="1" t="s">
        <v>570</v>
      </c>
      <c r="I187" s="1" t="s">
        <v>571</v>
      </c>
      <c r="J187" s="1"/>
    </row>
    <row r="188" customFormat="false" ht="14.5" hidden="true" customHeight="false" outlineLevel="0" collapsed="false">
      <c r="A188" s="5" t="n">
        <v>62</v>
      </c>
      <c r="B188" s="5" t="s">
        <v>37</v>
      </c>
      <c r="C188" s="5" t="s">
        <v>48</v>
      </c>
      <c r="D188" s="5" t="str">
        <f aca="false">IF(OR(LEFT(C188, 2)="SE", LEFT(C188, 2)="S4"), "C6", IF(LEFT(C188, 2)="S1", "C1", IF(OR(LEFT(C188, 2)="S2", LEFT(C188, 2)="S5"), "C3&amp;5", IF(LEFT(C188, 2)="S3", "C4", IF(LEFT(C188, 2)="SC", "C7", IF(LEFT(C188, 2)="S6", "C2", "Other"))))))</f>
        <v>C2</v>
      </c>
      <c r="E188" s="5" t="n">
        <v>5</v>
      </c>
      <c r="F188" s="5" t="s">
        <v>180</v>
      </c>
      <c r="G188" s="12" t="s">
        <v>77</v>
      </c>
      <c r="H188" s="5" t="s">
        <v>572</v>
      </c>
      <c r="I188" s="5" t="s">
        <v>573</v>
      </c>
      <c r="J188" s="5"/>
    </row>
    <row r="189" customFormat="false" ht="14.5" hidden="true" customHeight="false" outlineLevel="0" collapsed="false">
      <c r="A189" s="1" t="n">
        <v>62</v>
      </c>
      <c r="B189" s="1" t="s">
        <v>51</v>
      </c>
      <c r="C189" s="1" t="s">
        <v>1</v>
      </c>
      <c r="D189" s="1" t="str">
        <f aca="false">IF(OR(LEFT(C189, 2)="SE", LEFT(C189, 2)="S4"), "C6", IF(LEFT(C189, 2)="S1", "C1", IF(OR(LEFT(C189, 2)="S2", LEFT(C189, 2)="S5"), "C3&amp;5", IF(LEFT(C189, 2)="S3", "C4", IF(LEFT(C189, 2)="SC", "C7", IF(LEFT(C189, 2)="S6", "C2", "Other"))))))</f>
        <v>C7</v>
      </c>
      <c r="E189" s="1" t="n">
        <v>1</v>
      </c>
      <c r="F189" s="1" t="s">
        <v>569</v>
      </c>
      <c r="G189" s="12" t="s">
        <v>77</v>
      </c>
      <c r="H189" s="1" t="s">
        <v>574</v>
      </c>
      <c r="I189" s="1" t="s">
        <v>575</v>
      </c>
      <c r="J189" s="1"/>
    </row>
    <row r="190" customFormat="false" ht="14.5" hidden="true" customHeight="false" outlineLevel="0" collapsed="false">
      <c r="A190" s="23" t="n">
        <v>62</v>
      </c>
      <c r="B190" s="5" t="s">
        <v>71</v>
      </c>
      <c r="C190" s="5" t="s">
        <v>56</v>
      </c>
      <c r="D190" s="5" t="str">
        <f aca="false">IF(OR(LEFT(C190, 2)="SE", LEFT(C190, 2)="S4"), "C6", IF(LEFT(C190, 2)="S1", "C1", IF(OR(LEFT(C190, 2)="S2", LEFT(C190, 2)="S5"), "C3&amp;5", IF(LEFT(C190, 2)="S3", "C4", IF(LEFT(C190, 2)="SC", "C7", IF(LEFT(C190, 2)="S6", "C2", "Other"))))))</f>
        <v>C4</v>
      </c>
      <c r="E190" s="5" t="n">
        <v>2</v>
      </c>
      <c r="F190" s="5" t="s">
        <v>569</v>
      </c>
      <c r="G190" s="12" t="s">
        <v>77</v>
      </c>
      <c r="H190" s="5" t="s">
        <v>576</v>
      </c>
      <c r="I190" s="5" t="s">
        <v>577</v>
      </c>
      <c r="J190" s="5"/>
    </row>
    <row r="191" customFormat="false" ht="14.5" hidden="true" customHeight="false" outlineLevel="0" collapsed="false">
      <c r="A191" s="1" t="n">
        <v>62</v>
      </c>
      <c r="B191" s="1" t="s">
        <v>74</v>
      </c>
      <c r="C191" s="1" t="s">
        <v>96</v>
      </c>
      <c r="D191" s="1" t="str">
        <f aca="false">IF(OR(LEFT(C191, 2)="SE", LEFT(C191, 2)="S4"), "C6", IF(LEFT(C191, 2)="S1", "C1", IF(OR(LEFT(C191, 2)="S2", LEFT(C191, 2)="S5"), "C3&amp;5", IF(LEFT(C191, 2)="S3", "C4", IF(LEFT(C191, 2)="SC", "C7", IF(LEFT(C191, 2)="S6", "C2", "Other"))))))</f>
        <v>C2</v>
      </c>
      <c r="E191" s="1" t="n">
        <v>5</v>
      </c>
      <c r="F191" s="1" t="s">
        <v>180</v>
      </c>
      <c r="G191" s="12" t="s">
        <v>77</v>
      </c>
      <c r="H191" s="1" t="s">
        <v>578</v>
      </c>
      <c r="I191" s="1" t="s">
        <v>579</v>
      </c>
      <c r="J191" s="1"/>
    </row>
    <row r="192" customFormat="false" ht="14.5" hidden="true" customHeight="false" outlineLevel="0" collapsed="false">
      <c r="A192" s="11" t="n">
        <v>64</v>
      </c>
      <c r="B192" s="5" t="s">
        <v>123</v>
      </c>
      <c r="C192" s="5" t="s">
        <v>32</v>
      </c>
      <c r="D192" s="5" t="str">
        <f aca="false">IF(OR(LEFT(C192, 2)="SE", LEFT(C192, 2)="S4"), "C6", IF(LEFT(C192, 2)="S1", "C1", IF(OR(LEFT(C192, 2)="S2", LEFT(C192, 2)="S5"), "C3&amp;5", IF(LEFT(C192, 2)="S3", "C4", IF(LEFT(C192, 2)="SC", "C7", IF(LEFT(C192, 2)="S6", "C2", "Other"))))))</f>
        <v>C6</v>
      </c>
      <c r="E192" s="5" t="n">
        <v>1</v>
      </c>
      <c r="F192" s="5" t="s">
        <v>580</v>
      </c>
      <c r="G192" s="12" t="s">
        <v>34</v>
      </c>
      <c r="H192" s="5" t="s">
        <v>581</v>
      </c>
      <c r="I192" s="5" t="s">
        <v>582</v>
      </c>
      <c r="J192" s="5"/>
    </row>
    <row r="193" customFormat="false" ht="14.5" hidden="true" customHeight="false" outlineLevel="0" collapsed="false">
      <c r="A193" s="13" t="n">
        <v>64</v>
      </c>
      <c r="B193" s="1" t="s">
        <v>31</v>
      </c>
      <c r="C193" s="1" t="s">
        <v>32</v>
      </c>
      <c r="D193" s="1" t="str">
        <f aca="false">IF(OR(LEFT(C193, 2)="SE", LEFT(C193, 2)="S4"), "C6", IF(LEFT(C193, 2)="S1", "C1", IF(OR(LEFT(C193, 2)="S2", LEFT(C193, 2)="S5"), "C3&amp;5", IF(LEFT(C193, 2)="S3", "C4", IF(LEFT(C193, 2)="SC", "C7", IF(LEFT(C193, 2)="S6", "C2", "Other"))))))</f>
        <v>C6</v>
      </c>
      <c r="E193" s="1" t="n">
        <v>4</v>
      </c>
      <c r="F193" s="1" t="s">
        <v>580</v>
      </c>
      <c r="G193" s="12" t="s">
        <v>34</v>
      </c>
      <c r="H193" s="1" t="s">
        <v>583</v>
      </c>
      <c r="I193" s="1" t="s">
        <v>584</v>
      </c>
      <c r="J193" s="1"/>
    </row>
    <row r="194" customFormat="false" ht="14.5" hidden="true" customHeight="false" outlineLevel="0" collapsed="false">
      <c r="A194" s="20" t="n">
        <v>64</v>
      </c>
      <c r="B194" s="5" t="s">
        <v>37</v>
      </c>
      <c r="C194" s="5" t="s">
        <v>585</v>
      </c>
      <c r="D194" s="5" t="str">
        <f aca="false">IF(OR(LEFT(C194, 2)="SE", LEFT(C194, 2)="S4"), "C6", IF(LEFT(C194, 2)="S1", "C1", IF(OR(LEFT(C194, 2)="S2", LEFT(C194, 2)="S5"), "C3&amp;5", IF(LEFT(C194, 2)="S3", "C4", IF(LEFT(C194, 2)="SC", "C7", IF(LEFT(C194, 2)="S6", "C2", "Other"))))))</f>
        <v>C3&amp;5</v>
      </c>
      <c r="E194" s="5" t="n">
        <v>6</v>
      </c>
      <c r="F194" s="5" t="s">
        <v>580</v>
      </c>
      <c r="G194" s="12" t="s">
        <v>34</v>
      </c>
      <c r="H194" s="5" t="s">
        <v>586</v>
      </c>
      <c r="I194" s="5" t="s">
        <v>587</v>
      </c>
      <c r="J194" s="5"/>
    </row>
    <row r="195" customFormat="false" ht="14.5" hidden="false" customHeight="false" outlineLevel="0" collapsed="false">
      <c r="A195" s="13" t="n">
        <v>64</v>
      </c>
      <c r="B195" s="1" t="s">
        <v>42</v>
      </c>
      <c r="C195" s="1" t="s">
        <v>1</v>
      </c>
      <c r="D195" s="1" t="str">
        <f aca="false">IF(OR(LEFT(C195, 2)="SE", LEFT(C195, 2)="S4"), "C6", IF(LEFT(C195, 2)="S1", "C1", IF(OR(LEFT(C195, 2)="S2", LEFT(C195, 2)="S5"), "C3&amp;5", IF(LEFT(C195, 2)="S3", "C4", IF(LEFT(C195, 2)="SC", "C7", IF(LEFT(C195, 2)="S6", "C2", "Other"))))))</f>
        <v>C7</v>
      </c>
      <c r="E195" s="1" t="n">
        <v>6</v>
      </c>
      <c r="F195" s="1" t="s">
        <v>580</v>
      </c>
      <c r="G195" s="12" t="s">
        <v>34</v>
      </c>
      <c r="H195" s="1" t="s">
        <v>588</v>
      </c>
      <c r="I195" s="1" t="s">
        <v>589</v>
      </c>
      <c r="J195" s="1"/>
    </row>
    <row r="196" customFormat="false" ht="14.5" hidden="true" customHeight="false" outlineLevel="0" collapsed="false">
      <c r="A196" s="11" t="n">
        <v>64</v>
      </c>
      <c r="B196" s="5" t="s">
        <v>47</v>
      </c>
      <c r="C196" s="5" t="s">
        <v>212</v>
      </c>
      <c r="D196" s="5" t="str">
        <f aca="false">IF(OR(LEFT(C196, 2)="SE", LEFT(C196, 2)="S4"), "C6", IF(LEFT(C196, 2)="S1", "C1", IF(OR(LEFT(C196, 2)="S2", LEFT(C196, 2)="S5"), "C3&amp;5", IF(LEFT(C196, 2)="S3", "C4", IF(LEFT(C196, 2)="SC", "C7", IF(LEFT(C196, 2)="S6", "C2", "Other"))))))</f>
        <v>C3&amp;5</v>
      </c>
      <c r="E196" s="5" t="n">
        <v>10</v>
      </c>
      <c r="F196" s="5" t="s">
        <v>580</v>
      </c>
      <c r="G196" s="12" t="s">
        <v>34</v>
      </c>
      <c r="H196" s="5" t="s">
        <v>590</v>
      </c>
      <c r="I196" s="5" t="s">
        <v>591</v>
      </c>
      <c r="J196" s="5"/>
    </row>
    <row r="197" customFormat="false" ht="14.5" hidden="true" customHeight="false" outlineLevel="0" collapsed="false">
      <c r="A197" s="13" t="n">
        <v>64</v>
      </c>
      <c r="B197" s="1" t="s">
        <v>51</v>
      </c>
      <c r="C197" s="1" t="s">
        <v>228</v>
      </c>
      <c r="D197" s="1" t="str">
        <f aca="false">IF(OR(LEFT(C197, 2)="SE", LEFT(C197, 2)="S4"), "C6", IF(LEFT(C197, 2)="S1", "C1", IF(OR(LEFT(C197, 2)="S2", LEFT(C197, 2)="S5"), "C3&amp;5", IF(LEFT(C197, 2)="S3", "C4", IF(LEFT(C197, 2)="SC", "C7", IF(LEFT(C197, 2)="S6", "C2", "Other"))))))</f>
        <v>C6</v>
      </c>
      <c r="E197" s="1" t="n">
        <v>10</v>
      </c>
      <c r="F197" s="1" t="s">
        <v>580</v>
      </c>
      <c r="G197" s="12" t="s">
        <v>34</v>
      </c>
      <c r="H197" s="1" t="s">
        <v>592</v>
      </c>
      <c r="I197" s="1" t="s">
        <v>593</v>
      </c>
      <c r="J197" s="1"/>
    </row>
    <row r="198" customFormat="false" ht="14.5" hidden="false" customHeight="false" outlineLevel="0" collapsed="false">
      <c r="A198" s="11" t="n">
        <v>64</v>
      </c>
      <c r="B198" s="5" t="s">
        <v>55</v>
      </c>
      <c r="C198" s="5" t="s">
        <v>1</v>
      </c>
      <c r="D198" s="5" t="str">
        <f aca="false">IF(OR(LEFT(C198, 2)="SE", LEFT(C198, 2)="S4"), "C6", IF(LEFT(C198, 2)="S1", "C1", IF(OR(LEFT(C198, 2)="S2", LEFT(C198, 2)="S5"), "C3&amp;5", IF(LEFT(C198, 2)="S3", "C4", IF(LEFT(C198, 2)="SC", "C7", IF(LEFT(C198, 2)="S6", "C2", "Other"))))))</f>
        <v>C7</v>
      </c>
      <c r="E198" s="5" t="n">
        <v>4</v>
      </c>
      <c r="F198" s="5" t="s">
        <v>580</v>
      </c>
      <c r="G198" s="12" t="s">
        <v>34</v>
      </c>
      <c r="H198" s="5" t="s">
        <v>594</v>
      </c>
      <c r="I198" s="5" t="s">
        <v>595</v>
      </c>
      <c r="J198" s="5"/>
    </row>
    <row r="199" customFormat="false" ht="14.5" hidden="true" customHeight="false" outlineLevel="0" collapsed="false">
      <c r="A199" s="16" t="n">
        <v>65</v>
      </c>
      <c r="B199" s="1" t="s">
        <v>123</v>
      </c>
      <c r="C199" s="1" t="s">
        <v>56</v>
      </c>
      <c r="D199" s="1" t="str">
        <f aca="false">IF(OR(LEFT(C199, 2)="SE", LEFT(C199, 2)="S4"), "C6", IF(LEFT(C199, 2)="S1", "C1", IF(OR(LEFT(C199, 2)="S2", LEFT(C199, 2)="S5"), "C3&amp;5", IF(LEFT(C199, 2)="S3", "C4", IF(LEFT(C199, 2)="SC", "C7", IF(LEFT(C199, 2)="S6", "C2", "Other"))))))</f>
        <v>C4</v>
      </c>
      <c r="E199" s="1" t="n">
        <v>1</v>
      </c>
      <c r="F199" s="1" t="s">
        <v>329</v>
      </c>
      <c r="G199" s="12" t="s">
        <v>34</v>
      </c>
      <c r="H199" s="1" t="s">
        <v>596</v>
      </c>
      <c r="I199" s="1" t="s">
        <v>597</v>
      </c>
      <c r="J199" s="1"/>
    </row>
    <row r="200" customFormat="false" ht="14.5" hidden="true" customHeight="false" outlineLevel="0" collapsed="false">
      <c r="A200" s="20" t="n">
        <v>66</v>
      </c>
      <c r="B200" s="5" t="s">
        <v>123</v>
      </c>
      <c r="C200" s="5" t="s">
        <v>75</v>
      </c>
      <c r="D200" s="5" t="str">
        <f aca="false">IF(OR(LEFT(C200, 2)="SE", LEFT(C200, 2)="S4"), "C6", IF(LEFT(C200, 2)="S1", "C1", IF(OR(LEFT(C200, 2)="S2", LEFT(C200, 2)="S5"), "C3&amp;5", IF(LEFT(C200, 2)="S3", "C4", IF(LEFT(C200, 2)="SC", "C7", IF(LEFT(C200, 2)="S6", "C2", "Other"))))))</f>
        <v>C3&amp;5</v>
      </c>
      <c r="E200" s="5" t="n">
        <v>1</v>
      </c>
      <c r="F200" s="5" t="s">
        <v>598</v>
      </c>
      <c r="G200" s="12" t="s">
        <v>77</v>
      </c>
      <c r="H200" s="5" t="s">
        <v>599</v>
      </c>
      <c r="I200" s="5" t="s">
        <v>600</v>
      </c>
      <c r="J200" s="5"/>
    </row>
    <row r="201" customFormat="false" ht="14.5" hidden="true" customHeight="false" outlineLevel="0" collapsed="false">
      <c r="A201" s="13" t="n">
        <v>66</v>
      </c>
      <c r="B201" s="1" t="s">
        <v>31</v>
      </c>
      <c r="C201" s="1" t="s">
        <v>96</v>
      </c>
      <c r="D201" s="1" t="str">
        <f aca="false">IF(OR(LEFT(C201, 2)="SE", LEFT(C201, 2)="S4"), "C6", IF(LEFT(C201, 2)="S1", "C1", IF(OR(LEFT(C201, 2)="S2", LEFT(C201, 2)="S5"), "C3&amp;5", IF(LEFT(C201, 2)="S3", "C4", IF(LEFT(C201, 2)="SC", "C7", IF(LEFT(C201, 2)="S6", "C2", "Other"))))))</f>
        <v>C2</v>
      </c>
      <c r="E201" s="1" t="n">
        <v>3</v>
      </c>
      <c r="F201" s="1" t="s">
        <v>601</v>
      </c>
      <c r="G201" s="12" t="s">
        <v>34</v>
      </c>
      <c r="H201" s="1" t="s">
        <v>602</v>
      </c>
      <c r="I201" s="1" t="s">
        <v>603</v>
      </c>
      <c r="J201" s="1"/>
    </row>
    <row r="202" customFormat="false" ht="14.5" hidden="true" customHeight="false" outlineLevel="0" collapsed="false">
      <c r="A202" s="11" t="n">
        <v>67</v>
      </c>
      <c r="B202" s="5" t="s">
        <v>37</v>
      </c>
      <c r="C202" s="5" t="s">
        <v>38</v>
      </c>
      <c r="D202" s="5" t="str">
        <f aca="false">IF(OR(LEFT(C202, 2)="SE", LEFT(C202, 2)="S4"), "C6", IF(LEFT(C202, 2)="S1", "C1", IF(OR(LEFT(C202, 2)="S2", LEFT(C202, 2)="S5"), "C3&amp;5", IF(LEFT(C202, 2)="S3", "C4", IF(LEFT(C202, 2)="SC", "C7", IF(LEFT(C202, 2)="S6", "C2", "Other"))))))</f>
        <v>C1</v>
      </c>
      <c r="E202" s="5" t="n">
        <v>15</v>
      </c>
      <c r="F202" s="5" t="s">
        <v>604</v>
      </c>
      <c r="G202" s="12" t="s">
        <v>34</v>
      </c>
      <c r="H202" s="5" t="s">
        <v>605</v>
      </c>
      <c r="I202" s="5" t="s">
        <v>606</v>
      </c>
      <c r="J202" s="5"/>
    </row>
    <row r="203" customFormat="false" ht="14.5" hidden="true" customHeight="false" outlineLevel="0" collapsed="false">
      <c r="A203" s="16" t="n">
        <v>68</v>
      </c>
      <c r="B203" s="1" t="s">
        <v>123</v>
      </c>
      <c r="C203" s="1" t="s">
        <v>56</v>
      </c>
      <c r="D203" s="1" t="str">
        <f aca="false">IF(OR(LEFT(C203, 2)="SE", LEFT(C203, 2)="S4"), "C6", IF(LEFT(C203, 2)="S1", "C1", IF(OR(LEFT(C203, 2)="S2", LEFT(C203, 2)="S5"), "C3&amp;5", IF(LEFT(C203, 2)="S3", "C4", IF(LEFT(C203, 2)="SC", "C7", IF(LEFT(C203, 2)="S6", "C2", "Other"))))))</f>
        <v>C4</v>
      </c>
      <c r="E203" s="1" t="n">
        <v>1</v>
      </c>
      <c r="F203" s="1" t="s">
        <v>607</v>
      </c>
      <c r="G203" s="12" t="s">
        <v>34</v>
      </c>
      <c r="H203" s="1" t="s">
        <v>608</v>
      </c>
      <c r="I203" s="1" t="s">
        <v>609</v>
      </c>
      <c r="J203" s="1" t="s">
        <v>610</v>
      </c>
    </row>
    <row r="204" customFormat="false" ht="14.5" hidden="false" customHeight="false" outlineLevel="0" collapsed="false">
      <c r="A204" s="11" t="n">
        <v>68</v>
      </c>
      <c r="B204" s="5" t="s">
        <v>31</v>
      </c>
      <c r="C204" s="5" t="s">
        <v>1</v>
      </c>
      <c r="D204" s="5" t="str">
        <f aca="false">IF(OR(LEFT(C204, 2)="SE", LEFT(C204, 2)="S4"), "C6", IF(LEFT(C204, 2)="S1", "C1", IF(OR(LEFT(C204, 2)="S2", LEFT(C204, 2)="S5"), "C3&amp;5", IF(LEFT(C204, 2)="S3", "C4", IF(LEFT(C204, 2)="SC", "C7", IF(LEFT(C204, 2)="S6", "C2", "Other"))))))</f>
        <v>C7</v>
      </c>
      <c r="E204" s="5" t="n">
        <v>2</v>
      </c>
      <c r="F204" s="5" t="s">
        <v>611</v>
      </c>
      <c r="G204" s="12" t="s">
        <v>34</v>
      </c>
      <c r="H204" s="5" t="s">
        <v>612</v>
      </c>
      <c r="I204" s="5" t="s">
        <v>613</v>
      </c>
      <c r="J204" s="5"/>
    </row>
    <row r="205" customFormat="false" ht="14.5" hidden="false" customHeight="false" outlineLevel="0" collapsed="false">
      <c r="A205" s="13" t="n">
        <v>69</v>
      </c>
      <c r="B205" s="1" t="s">
        <v>37</v>
      </c>
      <c r="C205" s="1" t="s">
        <v>1</v>
      </c>
      <c r="D205" s="1" t="str">
        <f aca="false">IF(OR(LEFT(C205, 2)="SE", LEFT(C205, 2)="S4"), "C6", IF(LEFT(C205, 2)="S1", "C1", IF(OR(LEFT(C205, 2)="S2", LEFT(C205, 2)="S5"), "C3&amp;5", IF(LEFT(C205, 2)="S3", "C4", IF(LEFT(C205, 2)="SC", "C7", IF(LEFT(C205, 2)="S6", "C2", "Other"))))))</f>
        <v>C7</v>
      </c>
      <c r="E205" s="1" t="n">
        <v>9</v>
      </c>
      <c r="F205" s="1" t="s">
        <v>614</v>
      </c>
      <c r="G205" s="12" t="s">
        <v>125</v>
      </c>
      <c r="H205" s="1" t="s">
        <v>615</v>
      </c>
      <c r="I205" s="1" t="s">
        <v>616</v>
      </c>
      <c r="J205" s="1"/>
    </row>
    <row r="206" customFormat="false" ht="14.5" hidden="true" customHeight="false" outlineLevel="0" collapsed="false">
      <c r="A206" s="11" t="n">
        <v>70</v>
      </c>
      <c r="B206" s="5" t="s">
        <v>123</v>
      </c>
      <c r="C206" s="5" t="s">
        <v>377</v>
      </c>
      <c r="D206" s="5" t="str">
        <f aca="false">IF(OR(LEFT(C206, 2)="SE", LEFT(C206, 2)="S4"), "C6", IF(LEFT(C206, 2)="S1", "C1", IF(OR(LEFT(C206, 2)="S2", LEFT(C206, 2)="S5"), "C3&amp;5", IF(LEFT(C206, 2)="S3", "C4", IF(LEFT(C206, 2)="SC", "C7", IF(LEFT(C206, 2)="S6", "C2", "Other"))))))</f>
        <v>C6</v>
      </c>
      <c r="E206" s="5" t="n">
        <v>6</v>
      </c>
      <c r="F206" s="26" t="s">
        <v>420</v>
      </c>
      <c r="G206" s="12" t="s">
        <v>125</v>
      </c>
      <c r="H206" s="5" t="s">
        <v>617</v>
      </c>
      <c r="I206" s="5" t="s">
        <v>618</v>
      </c>
      <c r="J206" s="5"/>
    </row>
    <row r="207" customFormat="false" ht="14.5" hidden="true" customHeight="false" outlineLevel="0" collapsed="false">
      <c r="A207" s="13" t="n">
        <v>70</v>
      </c>
      <c r="B207" s="1" t="s">
        <v>37</v>
      </c>
      <c r="C207" s="1" t="s">
        <v>48</v>
      </c>
      <c r="D207" s="1" t="str">
        <f aca="false">IF(OR(LEFT(C207, 2)="SE", LEFT(C207, 2)="S4"), "C6", IF(LEFT(C207, 2)="S1", "C1", IF(OR(LEFT(C207, 2)="S2", LEFT(C207, 2)="S5"), "C3&amp;5", IF(LEFT(C207, 2)="S3", "C4", IF(LEFT(C207, 2)="SC", "C7", IF(LEFT(C207, 2)="S6", "C2", "Other"))))))</f>
        <v>C2</v>
      </c>
      <c r="E207" s="1" t="n">
        <v>3</v>
      </c>
      <c r="F207" s="1" t="s">
        <v>619</v>
      </c>
      <c r="G207" s="12" t="s">
        <v>125</v>
      </c>
      <c r="H207" s="1" t="s">
        <v>620</v>
      </c>
      <c r="I207" s="1" t="s">
        <v>621</v>
      </c>
      <c r="J207" s="1"/>
    </row>
    <row r="208" customFormat="false" ht="14.5" hidden="true" customHeight="false" outlineLevel="0" collapsed="false">
      <c r="A208" s="11" t="n">
        <v>70</v>
      </c>
      <c r="B208" s="5" t="s">
        <v>42</v>
      </c>
      <c r="C208" s="5" t="s">
        <v>48</v>
      </c>
      <c r="D208" s="5" t="str">
        <f aca="false">IF(OR(LEFT(C208, 2)="SE", LEFT(C208, 2)="S4"), "C6", IF(LEFT(C208, 2)="S1", "C1", IF(OR(LEFT(C208, 2)="S2", LEFT(C208, 2)="S5"), "C3&amp;5", IF(LEFT(C208, 2)="S3", "C4", IF(LEFT(C208, 2)="SC", "C7", IF(LEFT(C208, 2)="S6", "C2", "Other"))))))</f>
        <v>C2</v>
      </c>
      <c r="E208" s="5" t="n">
        <v>1</v>
      </c>
      <c r="F208" s="5" t="s">
        <v>619</v>
      </c>
      <c r="G208" s="12" t="s">
        <v>125</v>
      </c>
      <c r="H208" s="5" t="s">
        <v>622</v>
      </c>
      <c r="I208" s="5" t="s">
        <v>623</v>
      </c>
      <c r="J208" s="5"/>
    </row>
    <row r="209" customFormat="false" ht="14.5" hidden="true" customHeight="false" outlineLevel="0" collapsed="false">
      <c r="A209" s="13" t="n">
        <v>70</v>
      </c>
      <c r="B209" s="1" t="s">
        <v>47</v>
      </c>
      <c r="C209" s="1" t="s">
        <v>48</v>
      </c>
      <c r="D209" s="1" t="str">
        <f aca="false">IF(OR(LEFT(C209, 2)="SE", LEFT(C209, 2)="S4"), "C6", IF(LEFT(C209, 2)="S1", "C1", IF(OR(LEFT(C209, 2)="S2", LEFT(C209, 2)="S5"), "C3&amp;5", IF(LEFT(C209, 2)="S3", "C4", IF(LEFT(C209, 2)="SC", "C7", IF(LEFT(C209, 2)="S6", "C2", "Other"))))))</f>
        <v>C2</v>
      </c>
      <c r="E209" s="1" t="n">
        <v>1</v>
      </c>
      <c r="F209" s="1" t="s">
        <v>619</v>
      </c>
      <c r="G209" s="12" t="s">
        <v>125</v>
      </c>
      <c r="H209" s="1" t="s">
        <v>624</v>
      </c>
      <c r="I209" s="1" t="s">
        <v>625</v>
      </c>
      <c r="J209" s="1"/>
    </row>
    <row r="210" customFormat="false" ht="14.5" hidden="true" customHeight="false" outlineLevel="0" collapsed="false">
      <c r="A210" s="11" t="n">
        <v>70</v>
      </c>
      <c r="B210" s="5" t="s">
        <v>51</v>
      </c>
      <c r="C210" s="5" t="s">
        <v>38</v>
      </c>
      <c r="D210" s="5" t="str">
        <f aca="false">IF(OR(LEFT(C210, 2)="SE", LEFT(C210, 2)="S4"), "C6", IF(LEFT(C210, 2)="S1", "C1", IF(OR(LEFT(C210, 2)="S2", LEFT(C210, 2)="S5"), "C3&amp;5", IF(LEFT(C210, 2)="S3", "C4", IF(LEFT(C210, 2)="SC", "C7", IF(LEFT(C210, 2)="S6", "C2", "Other"))))))</f>
        <v>C1</v>
      </c>
      <c r="E210" s="5" t="n">
        <v>2</v>
      </c>
      <c r="F210" s="5" t="s">
        <v>626</v>
      </c>
      <c r="G210" s="12" t="s">
        <v>34</v>
      </c>
      <c r="H210" s="5" t="s">
        <v>431</v>
      </c>
      <c r="I210" s="5" t="s">
        <v>627</v>
      </c>
      <c r="J210" s="5"/>
    </row>
    <row r="211" customFormat="false" ht="14.5" hidden="true" customHeight="false" outlineLevel="0" collapsed="false">
      <c r="A211" s="13" t="n">
        <v>70</v>
      </c>
      <c r="B211" s="1" t="s">
        <v>55</v>
      </c>
      <c r="C211" s="1" t="s">
        <v>38</v>
      </c>
      <c r="D211" s="1" t="str">
        <f aca="false">IF(OR(LEFT(C211, 2)="SE", LEFT(C211, 2)="S4"), "C6", IF(LEFT(C211, 2)="S1", "C1", IF(OR(LEFT(C211, 2)="S2", LEFT(C211, 2)="S5"), "C3&amp;5", IF(LEFT(C211, 2)="S3", "C4", IF(LEFT(C211, 2)="SC", "C7", IF(LEFT(C211, 2)="S6", "C2", "Other"))))))</f>
        <v>C1</v>
      </c>
      <c r="E211" s="1" t="n">
        <v>2</v>
      </c>
      <c r="F211" s="2" t="s">
        <v>420</v>
      </c>
      <c r="G211" s="12" t="s">
        <v>125</v>
      </c>
      <c r="H211" s="1" t="s">
        <v>628</v>
      </c>
      <c r="I211" s="1" t="s">
        <v>629</v>
      </c>
      <c r="J211" s="1"/>
    </row>
    <row r="212" customFormat="false" ht="14.5" hidden="true" customHeight="false" outlineLevel="0" collapsed="false">
      <c r="A212" s="11" t="n">
        <v>70</v>
      </c>
      <c r="B212" s="5" t="s">
        <v>71</v>
      </c>
      <c r="C212" s="5" t="s">
        <v>48</v>
      </c>
      <c r="D212" s="5" t="str">
        <f aca="false">IF(OR(LEFT(C212, 2)="SE", LEFT(C212, 2)="S4"), "C6", IF(LEFT(C212, 2)="S1", "C1", IF(OR(LEFT(C212, 2)="S2", LEFT(C212, 2)="S5"), "C3&amp;5", IF(LEFT(C212, 2)="S3", "C4", IF(LEFT(C212, 2)="SC", "C7", IF(LEFT(C212, 2)="S6", "C2", "Other"))))))</f>
        <v>C2</v>
      </c>
      <c r="E212" s="5" t="n">
        <v>1</v>
      </c>
      <c r="F212" s="5" t="s">
        <v>433</v>
      </c>
      <c r="G212" s="12" t="s">
        <v>34</v>
      </c>
      <c r="H212" s="5" t="s">
        <v>630</v>
      </c>
      <c r="I212" s="5" t="s">
        <v>631</v>
      </c>
      <c r="J212" s="5"/>
    </row>
    <row r="213" customFormat="false" ht="14.5" hidden="true" customHeight="false" outlineLevel="0" collapsed="false">
      <c r="A213" s="13" t="n">
        <v>70</v>
      </c>
      <c r="B213" s="1" t="s">
        <v>211</v>
      </c>
      <c r="C213" s="1" t="s">
        <v>48</v>
      </c>
      <c r="D213" s="1" t="str">
        <f aca="false">IF(OR(LEFT(C213, 2)="SE", LEFT(C213, 2)="S4"), "C6", IF(LEFT(C213, 2)="S1", "C1", IF(OR(LEFT(C213, 2)="S2", LEFT(C213, 2)="S5"), "C3&amp;5", IF(LEFT(C213, 2)="S3", "C4", IF(LEFT(C213, 2)="SC", "C7", IF(LEFT(C213, 2)="S6", "C2", "Other"))))))</f>
        <v>C2</v>
      </c>
      <c r="E213" s="1" t="n">
        <v>2</v>
      </c>
      <c r="F213" s="2" t="s">
        <v>632</v>
      </c>
      <c r="G213" s="12" t="s">
        <v>34</v>
      </c>
      <c r="H213" s="1" t="s">
        <v>633</v>
      </c>
      <c r="I213" s="1" t="s">
        <v>634</v>
      </c>
      <c r="J213" s="1"/>
    </row>
    <row r="214" customFormat="false" ht="14.5" hidden="true" customHeight="false" outlineLevel="0" collapsed="false">
      <c r="A214" s="20" t="n">
        <v>70</v>
      </c>
      <c r="B214" s="5" t="s">
        <v>74</v>
      </c>
      <c r="C214" s="5" t="s">
        <v>56</v>
      </c>
      <c r="D214" s="5" t="str">
        <f aca="false">IF(OR(LEFT(C214, 2)="SE", LEFT(C214, 2)="S4"), "C6", IF(LEFT(C214, 2)="S1", "C1", IF(OR(LEFT(C214, 2)="S2", LEFT(C214, 2)="S5"), "C3&amp;5", IF(LEFT(C214, 2)="S3", "C4", IF(LEFT(C214, 2)="SC", "C7", IF(LEFT(C214, 2)="S6", "C2", "Other"))))))</f>
        <v>C4</v>
      </c>
      <c r="E214" s="5" t="n">
        <v>1</v>
      </c>
      <c r="F214" s="5" t="s">
        <v>619</v>
      </c>
      <c r="G214" s="12" t="s">
        <v>125</v>
      </c>
      <c r="H214" s="5" t="s">
        <v>635</v>
      </c>
      <c r="I214" s="5" t="s">
        <v>636</v>
      </c>
      <c r="J214" s="5"/>
    </row>
    <row r="215" customFormat="false" ht="14.5" hidden="false" customHeight="false" outlineLevel="0" collapsed="false">
      <c r="A215" s="13" t="n">
        <v>70</v>
      </c>
      <c r="B215" s="1" t="s">
        <v>80</v>
      </c>
      <c r="C215" s="1" t="s">
        <v>1</v>
      </c>
      <c r="D215" s="1" t="str">
        <f aca="false">IF(OR(LEFT(C215, 2)="SE", LEFT(C215, 2)="S4"), "C6", IF(LEFT(C215, 2)="S1", "C1", IF(OR(LEFT(C215, 2)="S2", LEFT(C215, 2)="S5"), "C3&amp;5", IF(LEFT(C215, 2)="S3", "C4", IF(LEFT(C215, 2)="SC", "C7", IF(LEFT(C215, 2)="S6", "C2", "Other"))))))</f>
        <v>C7</v>
      </c>
      <c r="E215" s="1" t="n">
        <v>1</v>
      </c>
      <c r="F215" s="1" t="s">
        <v>619</v>
      </c>
      <c r="G215" s="12" t="s">
        <v>125</v>
      </c>
      <c r="H215" s="1" t="s">
        <v>637</v>
      </c>
      <c r="I215" s="1" t="s">
        <v>638</v>
      </c>
      <c r="J215" s="1"/>
    </row>
    <row r="216" customFormat="false" ht="14.5" hidden="false" customHeight="false" outlineLevel="0" collapsed="false">
      <c r="A216" s="11" t="n">
        <v>70</v>
      </c>
      <c r="B216" s="5" t="s">
        <v>85</v>
      </c>
      <c r="C216" s="5" t="s">
        <v>1</v>
      </c>
      <c r="D216" s="5" t="str">
        <f aca="false">IF(OR(LEFT(C216, 2)="SE", LEFT(C216, 2)="S4"), "C6", IF(LEFT(C216, 2)="S1", "C1", IF(OR(LEFT(C216, 2)="S2", LEFT(C216, 2)="S5"), "C3&amp;5", IF(LEFT(C216, 2)="S3", "C4", IF(LEFT(C216, 2)="SC", "C7", IF(LEFT(C216, 2)="S6", "C2", "Other"))))))</f>
        <v>C7</v>
      </c>
      <c r="E216" s="5" t="n">
        <v>2</v>
      </c>
      <c r="F216" s="5" t="s">
        <v>420</v>
      </c>
      <c r="G216" s="12" t="s">
        <v>125</v>
      </c>
      <c r="H216" s="5" t="s">
        <v>639</v>
      </c>
      <c r="I216" s="5" t="s">
        <v>640</v>
      </c>
      <c r="J216" s="5"/>
    </row>
    <row r="217" customFormat="false" ht="14.5" hidden="false" customHeight="false" outlineLevel="0" collapsed="false">
      <c r="A217" s="13" t="n">
        <v>70</v>
      </c>
      <c r="B217" s="1" t="s">
        <v>88</v>
      </c>
      <c r="C217" s="1" t="s">
        <v>1</v>
      </c>
      <c r="D217" s="1" t="str">
        <f aca="false">IF(OR(LEFT(C217, 2)="SE", LEFT(C217, 2)="S4"), "C6", IF(LEFT(C217, 2)="S1", "C1", IF(OR(LEFT(C217, 2)="S2", LEFT(C217, 2)="S5"), "C3&amp;5", IF(LEFT(C217, 2)="S3", "C4", IF(LEFT(C217, 2)="SC", "C7", IF(LEFT(C217, 2)="S6", "C2", "Other"))))))</f>
        <v>C7</v>
      </c>
      <c r="E217" s="1" t="n">
        <v>1</v>
      </c>
      <c r="F217" s="1" t="s">
        <v>458</v>
      </c>
      <c r="G217" s="12" t="s">
        <v>125</v>
      </c>
      <c r="H217" s="1" t="s">
        <v>641</v>
      </c>
      <c r="I217" s="1" t="s">
        <v>642</v>
      </c>
      <c r="J217" s="1"/>
    </row>
    <row r="218" customFormat="false" ht="14.5" hidden="true" customHeight="false" outlineLevel="0" collapsed="false">
      <c r="A218" s="11" t="n">
        <v>71</v>
      </c>
      <c r="B218" s="5" t="s">
        <v>123</v>
      </c>
      <c r="C218" s="5" t="s">
        <v>65</v>
      </c>
      <c r="D218" s="5" t="str">
        <f aca="false">IF(OR(LEFT(C218, 2)="SE", LEFT(C218, 2)="S4"), "C6", IF(LEFT(C218, 2)="S1", "C1", IF(OR(LEFT(C218, 2)="S2", LEFT(C218, 2)="S5"), "C3&amp;5", IF(LEFT(C218, 2)="S3", "C4", IF(LEFT(C218, 2)="SC", "C7", IF(LEFT(C218, 2)="S6", "C2", "Other"))))))</f>
        <v>C6</v>
      </c>
      <c r="E218" s="5" t="n">
        <v>1</v>
      </c>
      <c r="F218" s="5" t="s">
        <v>104</v>
      </c>
      <c r="G218" s="12" t="s">
        <v>125</v>
      </c>
      <c r="H218" s="5" t="s">
        <v>643</v>
      </c>
      <c r="I218" s="5" t="s">
        <v>644</v>
      </c>
      <c r="J218" s="5"/>
    </row>
    <row r="219" customFormat="false" ht="14.5" hidden="true" customHeight="false" outlineLevel="0" collapsed="false">
      <c r="A219" s="13" t="n">
        <v>71</v>
      </c>
      <c r="B219" s="1" t="s">
        <v>37</v>
      </c>
      <c r="C219" s="1" t="s">
        <v>81</v>
      </c>
      <c r="D219" s="1" t="str">
        <f aca="false">IF(OR(LEFT(C219, 2)="SE", LEFT(C219, 2)="S4"), "C6", IF(LEFT(C219, 2)="S1", "C1", IF(OR(LEFT(C219, 2)="S2", LEFT(C219, 2)="S5"), "C3&amp;5", IF(LEFT(C219, 2)="S3", "C4", IF(LEFT(C219, 2)="SC", "C7", IF(LEFT(C219, 2)="S6", "C2", "Other"))))))</f>
        <v>C3&amp;5</v>
      </c>
      <c r="E219" s="1" t="n">
        <v>1</v>
      </c>
      <c r="F219" s="1" t="s">
        <v>645</v>
      </c>
      <c r="G219" s="12" t="s">
        <v>125</v>
      </c>
      <c r="H219" s="1" t="s">
        <v>646</v>
      </c>
      <c r="I219" s="1" t="s">
        <v>647</v>
      </c>
      <c r="J219" s="1"/>
    </row>
    <row r="220" customFormat="false" ht="14.5" hidden="true" customHeight="false" outlineLevel="0" collapsed="false">
      <c r="A220" s="11" t="n">
        <v>71</v>
      </c>
      <c r="B220" s="5" t="s">
        <v>42</v>
      </c>
      <c r="C220" s="5" t="s">
        <v>377</v>
      </c>
      <c r="D220" s="5" t="str">
        <f aca="false">IF(OR(LEFT(C220, 2)="SE", LEFT(C220, 2)="S4"), "C6", IF(LEFT(C220, 2)="S1", "C1", IF(OR(LEFT(C220, 2)="S2", LEFT(C220, 2)="S5"), "C3&amp;5", IF(LEFT(C220, 2)="S3", "C4", IF(LEFT(C220, 2)="SC", "C7", IF(LEFT(C220, 2)="S6", "C2", "Other"))))))</f>
        <v>C6</v>
      </c>
      <c r="E220" s="5" t="n">
        <v>2</v>
      </c>
      <c r="F220" s="5" t="s">
        <v>645</v>
      </c>
      <c r="G220" s="12" t="s">
        <v>125</v>
      </c>
      <c r="H220" s="5" t="s">
        <v>648</v>
      </c>
      <c r="I220" s="5" t="s">
        <v>649</v>
      </c>
      <c r="J220" s="5"/>
    </row>
    <row r="221" customFormat="false" ht="14.5" hidden="true" customHeight="false" outlineLevel="0" collapsed="false">
      <c r="A221" s="13" t="n">
        <v>71</v>
      </c>
      <c r="B221" s="1" t="s">
        <v>80</v>
      </c>
      <c r="C221" s="1" t="s">
        <v>48</v>
      </c>
      <c r="D221" s="1" t="str">
        <f aca="false">IF(OR(LEFT(C221, 2)="SE", LEFT(C221, 2)="S4"), "C6", IF(LEFT(C221, 2)="S1", "C1", IF(OR(LEFT(C221, 2)="S2", LEFT(C221, 2)="S5"), "C3&amp;5", IF(LEFT(C221, 2)="S3", "C4", IF(LEFT(C221, 2)="SC", "C7", IF(LEFT(C221, 2)="S6", "C2", "Other"))))))</f>
        <v>C2</v>
      </c>
      <c r="E221" s="1" t="n">
        <v>2</v>
      </c>
      <c r="F221" s="2" t="s">
        <v>3</v>
      </c>
      <c r="G221" s="12" t="s">
        <v>125</v>
      </c>
      <c r="H221" s="1" t="s">
        <v>650</v>
      </c>
      <c r="I221" s="1" t="s">
        <v>651</v>
      </c>
      <c r="J221" s="1"/>
    </row>
    <row r="222" customFormat="false" ht="14.5" hidden="true" customHeight="false" outlineLevel="0" collapsed="false">
      <c r="A222" s="20" t="n">
        <v>71</v>
      </c>
      <c r="B222" s="5" t="s">
        <v>85</v>
      </c>
      <c r="C222" s="5" t="s">
        <v>585</v>
      </c>
      <c r="D222" s="5" t="str">
        <f aca="false">IF(OR(LEFT(C222, 2)="SE", LEFT(C222, 2)="S4"), "C6", IF(LEFT(C222, 2)="S1", "C1", IF(OR(LEFT(C222, 2)="S2", LEFT(C222, 2)="S5"), "C3&amp;5", IF(LEFT(C222, 2)="S3", "C4", IF(LEFT(C222, 2)="SC", "C7", IF(LEFT(C222, 2)="S6", "C2", "Other"))))))</f>
        <v>C3&amp;5</v>
      </c>
      <c r="E222" s="5" t="n">
        <v>2</v>
      </c>
      <c r="F222" s="26" t="s">
        <v>652</v>
      </c>
      <c r="G222" s="12" t="s">
        <v>125</v>
      </c>
      <c r="H222" s="5" t="s">
        <v>653</v>
      </c>
      <c r="I222" s="5" t="s">
        <v>654</v>
      </c>
      <c r="J222" s="5"/>
    </row>
    <row r="223" customFormat="false" ht="14.5" hidden="false" customHeight="false" outlineLevel="0" collapsed="false">
      <c r="A223" s="13" t="n">
        <v>73</v>
      </c>
      <c r="B223" s="1" t="s">
        <v>123</v>
      </c>
      <c r="C223" s="1" t="s">
        <v>1</v>
      </c>
      <c r="D223" s="1" t="str">
        <f aca="false">IF(OR(LEFT(C223, 2)="SE", LEFT(C223, 2)="S4"), "C6", IF(LEFT(C223, 2)="S1", "C1", IF(OR(LEFT(C223, 2)="S2", LEFT(C223, 2)="S5"), "C3&amp;5", IF(LEFT(C223, 2)="S3", "C4", IF(LEFT(C223, 2)="SC", "C7", IF(LEFT(C223, 2)="S6", "C2", "Other"))))))</f>
        <v>C7</v>
      </c>
      <c r="E223" s="1" t="n">
        <v>4</v>
      </c>
      <c r="F223" s="2" t="s">
        <v>655</v>
      </c>
      <c r="G223" s="12" t="s">
        <v>125</v>
      </c>
      <c r="H223" s="1" t="s">
        <v>656</v>
      </c>
      <c r="I223" s="1" t="s">
        <v>657</v>
      </c>
      <c r="J223" s="1"/>
    </row>
    <row r="224" customFormat="false" ht="14.5" hidden="true" customHeight="false" outlineLevel="0" collapsed="false">
      <c r="A224" s="20" t="n">
        <v>74</v>
      </c>
      <c r="B224" s="5" t="s">
        <v>123</v>
      </c>
      <c r="C224" s="5" t="s">
        <v>144</v>
      </c>
      <c r="D224" s="5" t="str">
        <f aca="false">IF(OR(LEFT(C224, 2)="SE", LEFT(C224, 2)="S4"), "C6", IF(LEFT(C224, 2)="S1", "C1", IF(OR(LEFT(C224, 2)="S2", LEFT(C224, 2)="S5"), "C3&amp;5", IF(LEFT(C224, 2)="S3", "C4", IF(LEFT(C224, 2)="SC", "C7", IF(LEFT(C224, 2)="S6", "C2", "Other"))))))</f>
        <v>C3&amp;5</v>
      </c>
      <c r="E224" s="5" t="n">
        <v>1</v>
      </c>
      <c r="F224" s="5" t="s">
        <v>658</v>
      </c>
      <c r="G224" s="12" t="s">
        <v>34</v>
      </c>
      <c r="H224" s="5" t="s">
        <v>659</v>
      </c>
      <c r="I224" s="5" t="s">
        <v>660</v>
      </c>
      <c r="J224" s="5"/>
    </row>
    <row r="225" customFormat="false" ht="14.5" hidden="true" customHeight="false" outlineLevel="0" collapsed="false">
      <c r="A225" s="16" t="n">
        <v>74</v>
      </c>
      <c r="B225" s="1" t="s">
        <v>31</v>
      </c>
      <c r="C225" s="1" t="s">
        <v>144</v>
      </c>
      <c r="D225" s="1" t="str">
        <f aca="false">IF(OR(LEFT(C225, 2)="SE", LEFT(C225, 2)="S4"), "C6", IF(LEFT(C225, 2)="S1", "C1", IF(OR(LEFT(C225, 2)="S2", LEFT(C225, 2)="S5"), "C3&amp;5", IF(LEFT(C225, 2)="S3", "C4", IF(LEFT(C225, 2)="SC", "C7", IF(LEFT(C225, 2)="S6", "C2", "Other"))))))</f>
        <v>C3&amp;5</v>
      </c>
      <c r="E225" s="1" t="n">
        <v>1</v>
      </c>
      <c r="F225" s="1" t="s">
        <v>661</v>
      </c>
      <c r="G225" s="12" t="s">
        <v>125</v>
      </c>
      <c r="H225" s="1" t="s">
        <v>662</v>
      </c>
      <c r="I225" s="1" t="s">
        <v>663</v>
      </c>
      <c r="J225" s="1"/>
    </row>
    <row r="226" customFormat="false" ht="14.5" hidden="true" customHeight="false" outlineLevel="0" collapsed="false">
      <c r="A226" s="20" t="n">
        <v>74</v>
      </c>
      <c r="B226" s="5" t="s">
        <v>37</v>
      </c>
      <c r="C226" s="5" t="s">
        <v>144</v>
      </c>
      <c r="D226" s="5" t="str">
        <f aca="false">IF(OR(LEFT(C226, 2)="SE", LEFT(C226, 2)="S4"), "C6", IF(LEFT(C226, 2)="S1", "C1", IF(OR(LEFT(C226, 2)="S2", LEFT(C226, 2)="S5"), "C3&amp;5", IF(LEFT(C226, 2)="S3", "C4", IF(LEFT(C226, 2)="SC", "C7", IF(LEFT(C226, 2)="S6", "C2", "Other"))))))</f>
        <v>C3&amp;5</v>
      </c>
      <c r="E226" s="5" t="n">
        <v>4</v>
      </c>
      <c r="F226" s="5" t="s">
        <v>658</v>
      </c>
      <c r="G226" s="12" t="s">
        <v>34</v>
      </c>
      <c r="H226" s="5" t="s">
        <v>664</v>
      </c>
      <c r="I226" s="5" t="s">
        <v>665</v>
      </c>
      <c r="J226" s="5"/>
    </row>
    <row r="227" customFormat="false" ht="14.5" hidden="true" customHeight="false" outlineLevel="0" collapsed="false">
      <c r="A227" s="13" t="n">
        <v>77</v>
      </c>
      <c r="B227" s="1" t="s">
        <v>123</v>
      </c>
      <c r="C227" s="1" t="s">
        <v>48</v>
      </c>
      <c r="D227" s="1" t="str">
        <f aca="false">IF(OR(LEFT(C227, 2)="SE", LEFT(C227, 2)="S4"), "C6", IF(LEFT(C227, 2)="S1", "C1", IF(OR(LEFT(C227, 2)="S2", LEFT(C227, 2)="S5"), "C3&amp;5", IF(LEFT(C227, 2)="S3", "C4", IF(LEFT(C227, 2)="SC", "C7", IF(LEFT(C227, 2)="S6", "C2", "Other"))))))</f>
        <v>C2</v>
      </c>
      <c r="E227" s="1" t="n">
        <v>1</v>
      </c>
      <c r="F227" s="1" t="s">
        <v>666</v>
      </c>
      <c r="G227" s="12" t="s">
        <v>125</v>
      </c>
      <c r="H227" s="1" t="s">
        <v>667</v>
      </c>
      <c r="I227" s="1" t="s">
        <v>668</v>
      </c>
      <c r="J227" s="1"/>
    </row>
    <row r="228" customFormat="false" ht="14.5" hidden="true" customHeight="false" outlineLevel="0" collapsed="false">
      <c r="A228" s="11" t="n">
        <v>77</v>
      </c>
      <c r="B228" s="5" t="s">
        <v>31</v>
      </c>
      <c r="C228" s="5" t="s">
        <v>103</v>
      </c>
      <c r="D228" s="5" t="str">
        <f aca="false">IF(OR(LEFT(C228, 2)="SE", LEFT(C228, 2)="S4"), "C6", IF(LEFT(C228, 2)="S1", "C1", IF(OR(LEFT(C228, 2)="S2", LEFT(C228, 2)="S5"), "C3&amp;5", IF(LEFT(C228, 2)="S3", "C4", IF(LEFT(C228, 2)="SC", "C7", IF(LEFT(C228, 2)="S6", "C2", "Other"))))))</f>
        <v>C6</v>
      </c>
      <c r="E228" s="5" t="n">
        <v>1</v>
      </c>
      <c r="F228" s="5" t="s">
        <v>669</v>
      </c>
      <c r="G228" s="12" t="s">
        <v>34</v>
      </c>
      <c r="H228" s="5" t="s">
        <v>670</v>
      </c>
      <c r="I228" s="5" t="s">
        <v>671</v>
      </c>
      <c r="J228" s="5"/>
    </row>
    <row r="229" customFormat="false" ht="14.5" hidden="true" customHeight="false" outlineLevel="0" collapsed="false">
      <c r="A229" s="16" t="n">
        <v>78</v>
      </c>
      <c r="B229" s="1" t="s">
        <v>123</v>
      </c>
      <c r="C229" s="1" t="s">
        <v>144</v>
      </c>
      <c r="D229" s="1" t="str">
        <f aca="false">IF(OR(LEFT(C229, 2)="SE", LEFT(C229, 2)="S4"), "C6", IF(LEFT(C229, 2)="S1", "C1", IF(OR(LEFT(C229, 2)="S2", LEFT(C229, 2)="S5"), "C3&amp;5", IF(LEFT(C229, 2)="S3", "C4", IF(LEFT(C229, 2)="SC", "C7", IF(LEFT(C229, 2)="S6", "C2", "Other"))))))</f>
        <v>C3&amp;5</v>
      </c>
      <c r="E229" s="1" t="n">
        <v>3</v>
      </c>
      <c r="F229" s="1" t="s">
        <v>672</v>
      </c>
      <c r="G229" s="12" t="s">
        <v>34</v>
      </c>
      <c r="H229" s="1" t="s">
        <v>673</v>
      </c>
      <c r="I229" s="1" t="s">
        <v>674</v>
      </c>
      <c r="J229" s="1"/>
    </row>
    <row r="230" customFormat="false" ht="14.5" hidden="true" customHeight="false" outlineLevel="0" collapsed="false">
      <c r="A230" s="11" t="n">
        <v>78</v>
      </c>
      <c r="B230" s="5" t="s">
        <v>31</v>
      </c>
      <c r="C230" s="5" t="s">
        <v>96</v>
      </c>
      <c r="D230" s="5" t="str">
        <f aca="false">IF(OR(LEFT(C230, 2)="SE", LEFT(C230, 2)="S4"), "C6", IF(LEFT(C230, 2)="S1", "C1", IF(OR(LEFT(C230, 2)="S2", LEFT(C230, 2)="S5"), "C3&amp;5", IF(LEFT(C230, 2)="S3", "C4", IF(LEFT(C230, 2)="SC", "C7", IF(LEFT(C230, 2)="S6", "C2", "Other"))))))</f>
        <v>C2</v>
      </c>
      <c r="E230" s="5" t="n">
        <v>1</v>
      </c>
      <c r="F230" s="5" t="s">
        <v>675</v>
      </c>
      <c r="G230" s="12" t="s">
        <v>34</v>
      </c>
      <c r="H230" s="5" t="s">
        <v>676</v>
      </c>
      <c r="I230" s="5" t="s">
        <v>677</v>
      </c>
      <c r="J230" s="5"/>
    </row>
    <row r="231" customFormat="false" ht="14.5" hidden="false" customHeight="false" outlineLevel="0" collapsed="false">
      <c r="A231" s="27" t="n">
        <v>78</v>
      </c>
      <c r="B231" s="28" t="s">
        <v>37</v>
      </c>
      <c r="C231" s="28" t="s">
        <v>1</v>
      </c>
      <c r="D231" s="28" t="str">
        <f aca="false">IF(OR(LEFT(C231, 2)="SE", LEFT(C231, 2)="S4"), "C6", IF(LEFT(C231, 2)="S1", "C1", IF(OR(LEFT(C231, 2)="S2", LEFT(C231, 2)="S5"), "C3&amp;5", IF(LEFT(C231, 2)="S3", "C4", IF(LEFT(C231, 2)="SC", "C7", IF(LEFT(C231, 2)="S6", "C2", "Other"))))))</f>
        <v>C7</v>
      </c>
      <c r="E231" s="28" t="n">
        <v>4</v>
      </c>
      <c r="F231" s="28" t="s">
        <v>678</v>
      </c>
      <c r="G231" s="12" t="s">
        <v>34</v>
      </c>
      <c r="H231" s="28" t="s">
        <v>679</v>
      </c>
      <c r="I231" s="28" t="s">
        <v>680</v>
      </c>
      <c r="J231" s="28"/>
    </row>
    <row r="232" customFormat="false" ht="14.5" hidden="true" customHeight="false" outlineLevel="0" collapsed="false">
      <c r="A232" s="20" t="n">
        <v>78</v>
      </c>
      <c r="B232" s="5" t="s">
        <v>42</v>
      </c>
      <c r="C232" s="5" t="s">
        <v>154</v>
      </c>
      <c r="D232" s="5" t="str">
        <f aca="false">IF(OR(LEFT(C232, 2)="SE", LEFT(C232, 2)="S4"), "C6", IF(LEFT(C232, 2)="S1", "C1", IF(OR(LEFT(C232, 2)="S2", LEFT(C232, 2)="S5"), "C3&amp;5", IF(LEFT(C232, 2)="S3", "C4", IF(LEFT(C232, 2)="SC", "C7", IF(LEFT(C232, 2)="S6", "C2", "Other"))))))</f>
        <v>C4</v>
      </c>
      <c r="E232" s="5" t="n">
        <v>1</v>
      </c>
      <c r="F232" s="5" t="s">
        <v>672</v>
      </c>
      <c r="G232" s="12" t="s">
        <v>34</v>
      </c>
      <c r="H232" s="5" t="s">
        <v>681</v>
      </c>
      <c r="I232" s="5" t="s">
        <v>682</v>
      </c>
      <c r="J232" s="5"/>
    </row>
    <row r="233" customFormat="false" ht="14.5" hidden="true" customHeight="false" outlineLevel="0" collapsed="false">
      <c r="A233" s="27" t="n">
        <v>78</v>
      </c>
      <c r="B233" s="28" t="s">
        <v>47</v>
      </c>
      <c r="C233" s="28" t="s">
        <v>38</v>
      </c>
      <c r="D233" s="28" t="str">
        <f aca="false">IF(OR(LEFT(C233, 2)="SE", LEFT(C233, 2)="S4"), "C6", IF(LEFT(C233, 2)="S1", "C1", IF(OR(LEFT(C233, 2)="S2", LEFT(C233, 2)="S5"), "C3&amp;5", IF(LEFT(C233, 2)="S3", "C4", IF(LEFT(C233, 2)="SC", "C7", IF(LEFT(C233, 2)="S6", "C2", "Other"))))))</f>
        <v>C1</v>
      </c>
      <c r="E233" s="28" t="n">
        <v>1</v>
      </c>
      <c r="F233" s="29" t="s">
        <v>683</v>
      </c>
      <c r="G233" s="12" t="s">
        <v>34</v>
      </c>
      <c r="H233" s="28" t="s">
        <v>684</v>
      </c>
      <c r="I233" s="28" t="s">
        <v>685</v>
      </c>
      <c r="J233" s="28"/>
    </row>
    <row r="234" customFormat="false" ht="14.5" hidden="true" customHeight="false" outlineLevel="0" collapsed="false">
      <c r="A234" s="11" t="n">
        <v>78</v>
      </c>
      <c r="B234" s="5" t="s">
        <v>51</v>
      </c>
      <c r="C234" s="5" t="s">
        <v>377</v>
      </c>
      <c r="D234" s="5" t="str">
        <f aca="false">IF(OR(LEFT(C234, 2)="SE", LEFT(C234, 2)="S4"), "C6", IF(LEFT(C234, 2)="S1", "C1", IF(OR(LEFT(C234, 2)="S2", LEFT(C234, 2)="S5"), "C3&amp;5", IF(LEFT(C234, 2)="S3", "C4", IF(LEFT(C234, 2)="SC", "C7", IF(LEFT(C234, 2)="S6", "C2", "Other"))))))</f>
        <v>C6</v>
      </c>
      <c r="E234" s="5" t="n">
        <v>1</v>
      </c>
      <c r="F234" s="5" t="s">
        <v>672</v>
      </c>
      <c r="G234" s="12" t="s">
        <v>34</v>
      </c>
      <c r="H234" s="5" t="s">
        <v>686</v>
      </c>
      <c r="I234" s="5" t="s">
        <v>687</v>
      </c>
      <c r="J234" s="5"/>
    </row>
    <row r="235" customFormat="false" ht="14.5" hidden="true" customHeight="false" outlineLevel="0" collapsed="false">
      <c r="A235" s="13" t="n">
        <v>78</v>
      </c>
      <c r="B235" s="1" t="s">
        <v>55</v>
      </c>
      <c r="C235" s="1" t="s">
        <v>38</v>
      </c>
      <c r="D235" s="1" t="str">
        <f aca="false">IF(OR(LEFT(C235, 2)="SE", LEFT(C235, 2)="S4"), "C6", IF(LEFT(C235, 2)="S1", "C1", IF(OR(LEFT(C235, 2)="S2", LEFT(C235, 2)="S5"), "C3&amp;5", IF(LEFT(C235, 2)="S3", "C4", IF(LEFT(C235, 2)="SC", "C7", IF(LEFT(C235, 2)="S6", "C2", "Other"))))))</f>
        <v>C1</v>
      </c>
      <c r="E235" s="1" t="n">
        <v>1</v>
      </c>
      <c r="F235" s="1" t="s">
        <v>688</v>
      </c>
      <c r="G235" s="12" t="s">
        <v>125</v>
      </c>
      <c r="H235" s="1" t="s">
        <v>689</v>
      </c>
      <c r="I235" s="1" t="s">
        <v>690</v>
      </c>
      <c r="J235" s="1"/>
    </row>
    <row r="236" customFormat="false" ht="14.5" hidden="true" customHeight="false" outlineLevel="0" collapsed="false">
      <c r="A236" s="11" t="n">
        <v>79</v>
      </c>
      <c r="B236" s="5" t="s">
        <v>31</v>
      </c>
      <c r="C236" s="5" t="s">
        <v>48</v>
      </c>
      <c r="D236" s="5" t="str">
        <f aca="false">IF(OR(LEFT(C236, 2)="SE", LEFT(C236, 2)="S4"), "C6", IF(LEFT(C236, 2)="S1", "C1", IF(OR(LEFT(C236, 2)="S2", LEFT(C236, 2)="S5"), "C3&amp;5", IF(LEFT(C236, 2)="S3", "C4", IF(LEFT(C236, 2)="SC", "C7", IF(LEFT(C236, 2)="S6", "C2", "Other"))))))</f>
        <v>C2</v>
      </c>
      <c r="E236" s="5" t="n">
        <v>1</v>
      </c>
      <c r="F236" s="5" t="s">
        <v>691</v>
      </c>
      <c r="G236" s="12" t="s">
        <v>125</v>
      </c>
      <c r="H236" s="5" t="s">
        <v>692</v>
      </c>
      <c r="I236" s="5" t="s">
        <v>693</v>
      </c>
      <c r="J236" s="5"/>
    </row>
    <row r="237" customFormat="false" ht="14.5" hidden="true" customHeight="false" outlineLevel="0" collapsed="false">
      <c r="A237" s="13" t="n">
        <v>80</v>
      </c>
      <c r="B237" s="1" t="s">
        <v>123</v>
      </c>
      <c r="C237" s="1" t="s">
        <v>103</v>
      </c>
      <c r="D237" s="1" t="str">
        <f aca="false">IF(OR(LEFT(C237, 2)="SE", LEFT(C237, 2)="S4"), "C6", IF(LEFT(C237, 2)="S1", "C1", IF(OR(LEFT(C237, 2)="S2", LEFT(C237, 2)="S5"), "C3&amp;5", IF(LEFT(C237, 2)="S3", "C4", IF(LEFT(C237, 2)="SC", "C7", IF(LEFT(C237, 2)="S6", "C2", "Other"))))))</f>
        <v>C6</v>
      </c>
      <c r="E237" s="1" t="n">
        <v>2</v>
      </c>
      <c r="F237" s="21" t="s">
        <v>694</v>
      </c>
      <c r="G237" s="12" t="s">
        <v>34</v>
      </c>
      <c r="H237" s="1" t="s">
        <v>695</v>
      </c>
      <c r="I237" s="1" t="s">
        <v>696</v>
      </c>
      <c r="J237" s="1"/>
    </row>
    <row r="238" customFormat="false" ht="14.5" hidden="true" customHeight="false" outlineLevel="0" collapsed="false">
      <c r="A238" s="11" t="n">
        <v>80</v>
      </c>
      <c r="B238" s="5" t="s">
        <v>31</v>
      </c>
      <c r="C238" s="5" t="s">
        <v>103</v>
      </c>
      <c r="D238" s="5" t="str">
        <f aca="false">IF(OR(LEFT(C238, 2)="SE", LEFT(C238, 2)="S4"), "C6", IF(LEFT(C238, 2)="S1", "C1", IF(OR(LEFT(C238, 2)="S2", LEFT(C238, 2)="S5"), "C3&amp;5", IF(LEFT(C238, 2)="S3", "C4", IF(LEFT(C238, 2)="SC", "C7", IF(LEFT(C238, 2)="S6", "C2", "Other"))))))</f>
        <v>C6</v>
      </c>
      <c r="E238" s="5" t="n">
        <v>1</v>
      </c>
      <c r="F238" s="5" t="s">
        <v>697</v>
      </c>
      <c r="G238" s="12" t="s">
        <v>34</v>
      </c>
      <c r="H238" s="5" t="s">
        <v>698</v>
      </c>
      <c r="I238" s="5" t="s">
        <v>699</v>
      </c>
      <c r="J238" s="5"/>
    </row>
    <row r="239" customFormat="false" ht="14.5" hidden="true" customHeight="false" outlineLevel="0" collapsed="false">
      <c r="A239" s="13" t="n">
        <v>81</v>
      </c>
      <c r="B239" s="1" t="s">
        <v>123</v>
      </c>
      <c r="C239" s="1" t="s">
        <v>81</v>
      </c>
      <c r="D239" s="1" t="str">
        <f aca="false">IF(OR(LEFT(C239, 2)="SE", LEFT(C239, 2)="S4"), "C6", IF(LEFT(C239, 2)="S1", "C1", IF(OR(LEFT(C239, 2)="S2", LEFT(C239, 2)="S5"), "C3&amp;5", IF(LEFT(C239, 2)="S3", "C4", IF(LEFT(C239, 2)="SC", "C7", IF(LEFT(C239, 2)="S6", "C2", "Other"))))))</f>
        <v>C3&amp;5</v>
      </c>
      <c r="E239" s="1" t="n">
        <v>2</v>
      </c>
      <c r="F239" s="1" t="s">
        <v>700</v>
      </c>
      <c r="G239" s="12" t="s">
        <v>34</v>
      </c>
      <c r="H239" s="1" t="s">
        <v>701</v>
      </c>
      <c r="I239" s="1" t="s">
        <v>702</v>
      </c>
      <c r="J239" s="1"/>
    </row>
    <row r="240" customFormat="false" ht="14.5" hidden="true" customHeight="false" outlineLevel="0" collapsed="false">
      <c r="A240" s="11" t="n">
        <v>81</v>
      </c>
      <c r="B240" s="5" t="s">
        <v>31</v>
      </c>
      <c r="C240" s="5" t="s">
        <v>103</v>
      </c>
      <c r="D240" s="5" t="str">
        <f aca="false">IF(OR(LEFT(C240, 2)="SE", LEFT(C240, 2)="S4"), "C6", IF(LEFT(C240, 2)="S1", "C1", IF(OR(LEFT(C240, 2)="S2", LEFT(C240, 2)="S5"), "C3&amp;5", IF(LEFT(C240, 2)="S3", "C4", IF(LEFT(C240, 2)="SC", "C7", IF(LEFT(C240, 2)="S6", "C2", "Other"))))))</f>
        <v>C6</v>
      </c>
      <c r="E240" s="5" t="n">
        <v>1</v>
      </c>
      <c r="F240" s="5" t="s">
        <v>703</v>
      </c>
      <c r="G240" s="12" t="s">
        <v>125</v>
      </c>
      <c r="H240" s="5" t="s">
        <v>704</v>
      </c>
      <c r="I240" s="5" t="s">
        <v>705</v>
      </c>
      <c r="J240" s="5"/>
    </row>
    <row r="241" customFormat="false" ht="14.5" hidden="true" customHeight="false" outlineLevel="0" collapsed="false">
      <c r="A241" s="16" t="n">
        <v>83</v>
      </c>
      <c r="B241" s="1" t="s">
        <v>123</v>
      </c>
      <c r="C241" s="1" t="s">
        <v>56</v>
      </c>
      <c r="D241" s="1" t="str">
        <f aca="false">IF(OR(LEFT(C241, 2)="SE", LEFT(C241, 2)="S4"), "C6", IF(LEFT(C241, 2)="S1", "C1", IF(OR(LEFT(C241, 2)="S2", LEFT(C241, 2)="S5"), "C3&amp;5", IF(LEFT(C241, 2)="S3", "C4", IF(LEFT(C241, 2)="SC", "C7", IF(LEFT(C241, 2)="S6", "C2", "Other"))))))</f>
        <v>C4</v>
      </c>
      <c r="E241" s="1" t="n">
        <v>4</v>
      </c>
      <c r="F241" s="1" t="s">
        <v>706</v>
      </c>
      <c r="G241" s="12" t="s">
        <v>34</v>
      </c>
      <c r="H241" s="1" t="s">
        <v>707</v>
      </c>
      <c r="I241" s="1" t="s">
        <v>708</v>
      </c>
      <c r="J241" s="1"/>
    </row>
    <row r="242" customFormat="false" ht="14.5" hidden="true" customHeight="false" outlineLevel="0" collapsed="false">
      <c r="A242" s="11" t="n">
        <v>83</v>
      </c>
      <c r="B242" s="5" t="s">
        <v>31</v>
      </c>
      <c r="C242" s="5" t="s">
        <v>179</v>
      </c>
      <c r="D242" s="5" t="str">
        <f aca="false">IF(OR(LEFT(C242, 2)="SE", LEFT(C242, 2)="S4"), "C6", IF(LEFT(C242, 2)="S1", "C1", IF(OR(LEFT(C242, 2)="S2", LEFT(C242, 2)="S5"), "C3&amp;5", IF(LEFT(C242, 2)="S3", "C4", IF(LEFT(C242, 2)="SC", "C7", IF(LEFT(C242, 2)="S6", "C2", "Other"))))))</f>
        <v>C2</v>
      </c>
      <c r="E242" s="5" t="n">
        <v>2</v>
      </c>
      <c r="F242" s="5" t="s">
        <v>706</v>
      </c>
      <c r="G242" s="12" t="s">
        <v>34</v>
      </c>
      <c r="H242" s="5" t="s">
        <v>709</v>
      </c>
      <c r="I242" s="5" t="s">
        <v>710</v>
      </c>
      <c r="J242" s="5"/>
    </row>
    <row r="243" customFormat="false" ht="14.5" hidden="true" customHeight="false" outlineLevel="0" collapsed="false">
      <c r="A243" s="30" t="n">
        <v>83</v>
      </c>
      <c r="B243" s="28" t="s">
        <v>37</v>
      </c>
      <c r="C243" s="28" t="s">
        <v>585</v>
      </c>
      <c r="D243" s="28" t="str">
        <f aca="false">IF(OR(LEFT(C243, 2)="SE", LEFT(C243, 2)="S4"), "C6", IF(LEFT(C243, 2)="S1", "C1", IF(OR(LEFT(C243, 2)="S2", LEFT(C243, 2)="S5"), "C3&amp;5", IF(LEFT(C243, 2)="S3", "C4", IF(LEFT(C243, 2)="SC", "C7", IF(LEFT(C243, 2)="S6", "C2", "Other"))))))</f>
        <v>C3&amp;5</v>
      </c>
      <c r="E243" s="28" t="n">
        <v>19</v>
      </c>
      <c r="F243" s="28" t="s">
        <v>711</v>
      </c>
      <c r="G243" s="12" t="s">
        <v>34</v>
      </c>
      <c r="H243" s="28" t="s">
        <v>712</v>
      </c>
      <c r="I243" s="28" t="s">
        <v>713</v>
      </c>
      <c r="J243" s="28"/>
    </row>
    <row r="244" customFormat="false" ht="14.5" hidden="true" customHeight="false" outlineLevel="0" collapsed="false">
      <c r="A244" s="11" t="n">
        <v>83</v>
      </c>
      <c r="B244" s="5" t="s">
        <v>47</v>
      </c>
      <c r="C244" s="5" t="s">
        <v>38</v>
      </c>
      <c r="D244" s="5" t="str">
        <f aca="false">IF(OR(LEFT(C244, 2)="SE", LEFT(C244, 2)="S4"), "C6", IF(LEFT(C244, 2)="S1", "C1", IF(OR(LEFT(C244, 2)="S2", LEFT(C244, 2)="S5"), "C3&amp;5", IF(LEFT(C244, 2)="S3", "C4", IF(LEFT(C244, 2)="SC", "C7", IF(LEFT(C244, 2)="S6", "C2", "Other"))))))</f>
        <v>C1</v>
      </c>
      <c r="E244" s="5" t="n">
        <v>4</v>
      </c>
      <c r="F244" s="5" t="s">
        <v>714</v>
      </c>
      <c r="G244" s="12" t="s">
        <v>34</v>
      </c>
      <c r="H244" s="5" t="s">
        <v>715</v>
      </c>
      <c r="I244" s="5" t="s">
        <v>716</v>
      </c>
      <c r="J244" s="5"/>
    </row>
    <row r="245" customFormat="false" ht="14.5" hidden="false" customHeight="false" outlineLevel="0" collapsed="false">
      <c r="A245" s="13" t="n">
        <v>83</v>
      </c>
      <c r="B245" s="1" t="s">
        <v>51</v>
      </c>
      <c r="C245" s="1" t="s">
        <v>1</v>
      </c>
      <c r="D245" s="1" t="str">
        <f aca="false">IF(OR(LEFT(C245, 2)="SE", LEFT(C245, 2)="S4"), "C6", IF(LEFT(C245, 2)="S1", "C1", IF(OR(LEFT(C245, 2)="S2", LEFT(C245, 2)="S5"), "C3&amp;5", IF(LEFT(C245, 2)="S3", "C4", IF(LEFT(C245, 2)="SC", "C7", IF(LEFT(C245, 2)="S6", "C2", "Other"))))))</f>
        <v>C7</v>
      </c>
      <c r="E245" s="1" t="n">
        <v>6</v>
      </c>
      <c r="F245" s="1" t="s">
        <v>697</v>
      </c>
      <c r="G245" s="12" t="s">
        <v>34</v>
      </c>
      <c r="H245" s="1" t="s">
        <v>717</v>
      </c>
      <c r="I245" s="1" t="s">
        <v>718</v>
      </c>
      <c r="J245" s="1"/>
    </row>
    <row r="246" customFormat="false" ht="14.5" hidden="true" customHeight="false" outlineLevel="0" collapsed="false">
      <c r="A246" s="11" t="n">
        <v>83</v>
      </c>
      <c r="B246" s="5" t="s">
        <v>55</v>
      </c>
      <c r="C246" s="5" t="s">
        <v>228</v>
      </c>
      <c r="D246" s="5" t="str">
        <f aca="false">IF(OR(LEFT(C246, 2)="SE", LEFT(C246, 2)="S4"), "C6", IF(LEFT(C246, 2)="S1", "C1", IF(OR(LEFT(C246, 2)="S2", LEFT(C246, 2)="S5"), "C3&amp;5", IF(LEFT(C246, 2)="S3", "C4", IF(LEFT(C246, 2)="SC", "C7", IF(LEFT(C246, 2)="S6", "C2", "Other"))))))</f>
        <v>C6</v>
      </c>
      <c r="E246" s="5" t="n">
        <v>4</v>
      </c>
      <c r="F246" s="5" t="s">
        <v>711</v>
      </c>
      <c r="G246" s="12" t="s">
        <v>34</v>
      </c>
      <c r="H246" s="5" t="s">
        <v>719</v>
      </c>
      <c r="I246" s="5" t="s">
        <v>720</v>
      </c>
      <c r="J246" s="5"/>
    </row>
    <row r="247" customFormat="false" ht="14.5" hidden="false" customHeight="false" outlineLevel="0" collapsed="false">
      <c r="A247" s="13" t="n">
        <v>83</v>
      </c>
      <c r="B247" s="1" t="s">
        <v>71</v>
      </c>
      <c r="C247" s="1" t="s">
        <v>1</v>
      </c>
      <c r="D247" s="1" t="str">
        <f aca="false">IF(OR(LEFT(C247, 2)="SE", LEFT(C247, 2)="S4"), "C6", IF(LEFT(C247, 2)="S1", "C1", IF(OR(LEFT(C247, 2)="S2", LEFT(C247, 2)="S5"), "C3&amp;5", IF(LEFT(C247, 2)="S3", "C4", IF(LEFT(C247, 2)="SC", "C7", IF(LEFT(C247, 2)="S6", "C2", "Other"))))))</f>
        <v>C7</v>
      </c>
      <c r="E247" s="1" t="n">
        <v>3</v>
      </c>
      <c r="F247" s="1" t="s">
        <v>706</v>
      </c>
      <c r="G247" s="12" t="s">
        <v>34</v>
      </c>
      <c r="H247" s="1" t="s">
        <v>721</v>
      </c>
      <c r="I247" s="1" t="s">
        <v>722</v>
      </c>
      <c r="J247" s="1"/>
    </row>
    <row r="248" customFormat="false" ht="14.5" hidden="true" customHeight="false" outlineLevel="0" collapsed="false">
      <c r="A248" s="11" t="n">
        <v>83</v>
      </c>
      <c r="B248" s="5" t="s">
        <v>80</v>
      </c>
      <c r="C248" s="5" t="s">
        <v>212</v>
      </c>
      <c r="D248" s="5" t="str">
        <f aca="false">IF(OR(LEFT(C248, 2)="SE", LEFT(C248, 2)="S4"), "C6", IF(LEFT(C248, 2)="S1", "C1", IF(OR(LEFT(C248, 2)="S2", LEFT(C248, 2)="S5"), "C3&amp;5", IF(LEFT(C248, 2)="S3", "C4", IF(LEFT(C248, 2)="SC", "C7", IF(LEFT(C248, 2)="S6", "C2", "Other"))))))</f>
        <v>C3&amp;5</v>
      </c>
      <c r="E248" s="5" t="n">
        <v>3</v>
      </c>
      <c r="F248" s="5" t="s">
        <v>697</v>
      </c>
      <c r="G248" s="12" t="s">
        <v>34</v>
      </c>
      <c r="H248" s="5" t="s">
        <v>723</v>
      </c>
      <c r="I248" s="5" t="s">
        <v>724</v>
      </c>
      <c r="J248" s="5"/>
    </row>
    <row r="249" customFormat="false" ht="14.5" hidden="true" customHeight="false" outlineLevel="0" collapsed="false">
      <c r="A249" s="13" t="n">
        <v>90</v>
      </c>
      <c r="B249" s="1" t="s">
        <v>123</v>
      </c>
      <c r="C249" s="1" t="s">
        <v>377</v>
      </c>
      <c r="D249" s="1" t="str">
        <f aca="false">IF(OR(LEFT(C249, 2)="SE", LEFT(C249, 2)="S4"), "C6", IF(LEFT(C249, 2)="S1", "C1", IF(OR(LEFT(C249, 2)="S2", LEFT(C249, 2)="S5"), "C3&amp;5", IF(LEFT(C249, 2)="S3", "C4", IF(LEFT(C249, 2)="SC", "C7", IF(LEFT(C249, 2)="S6", "C2", "Other"))))))</f>
        <v>C6</v>
      </c>
      <c r="E249" s="1" t="n">
        <v>5</v>
      </c>
      <c r="F249" s="1" t="s">
        <v>725</v>
      </c>
      <c r="G249" s="12" t="s">
        <v>34</v>
      </c>
      <c r="H249" s="1" t="s">
        <v>726</v>
      </c>
      <c r="I249" s="1" t="s">
        <v>727</v>
      </c>
      <c r="J249" s="1"/>
    </row>
    <row r="250" customFormat="false" ht="14.5" hidden="true" customHeight="false" outlineLevel="0" collapsed="false">
      <c r="A250" s="11" t="n">
        <v>92</v>
      </c>
      <c r="B250" s="5" t="s">
        <v>123</v>
      </c>
      <c r="C250" s="5" t="s">
        <v>96</v>
      </c>
      <c r="D250" s="5" t="str">
        <f aca="false">IF(OR(LEFT(C250, 2)="SE", LEFT(C250, 2)="S4"), "C6", IF(LEFT(C250, 2)="S1", "C1", IF(OR(LEFT(C250, 2)="S2", LEFT(C250, 2)="S5"), "C3&amp;5", IF(LEFT(C250, 2)="S3", "C4", IF(LEFT(C250, 2)="SC", "C7", IF(LEFT(C250, 2)="S6", "C2", "Other"))))))</f>
        <v>C2</v>
      </c>
      <c r="E250" s="5" t="n">
        <v>5</v>
      </c>
      <c r="F250" s="5" t="s">
        <v>728</v>
      </c>
      <c r="G250" s="12" t="s">
        <v>125</v>
      </c>
      <c r="H250" s="5" t="s">
        <v>729</v>
      </c>
      <c r="I250" s="5" t="s">
        <v>730</v>
      </c>
      <c r="J250" s="5"/>
    </row>
    <row r="251" customFormat="false" ht="14.5" hidden="true" customHeight="false" outlineLevel="0" collapsed="false">
      <c r="A251" s="13" t="n">
        <v>94</v>
      </c>
      <c r="B251" s="1" t="s">
        <v>123</v>
      </c>
      <c r="C251" s="1" t="s">
        <v>212</v>
      </c>
      <c r="D251" s="1" t="str">
        <f aca="false">IF(OR(LEFT(C251, 2)="SE", LEFT(C251, 2)="S4"), "C6", IF(LEFT(C251, 2)="S1", "C1", IF(OR(LEFT(C251, 2)="S2", LEFT(C251, 2)="S5"), "C3&amp;5", IF(LEFT(C251, 2)="S3", "C4", IF(LEFT(C251, 2)="SC", "C7", IF(LEFT(C251, 2)="S6", "C2", "Other"))))))</f>
        <v>C3&amp;5</v>
      </c>
      <c r="E251" s="1" t="n">
        <v>2</v>
      </c>
      <c r="F251" s="1" t="s">
        <v>731</v>
      </c>
      <c r="G251" s="12" t="s">
        <v>125</v>
      </c>
      <c r="H251" s="1" t="s">
        <v>732</v>
      </c>
      <c r="I251" s="1" t="s">
        <v>733</v>
      </c>
      <c r="J251" s="1"/>
    </row>
    <row r="252" customFormat="false" ht="14.5" hidden="true" customHeight="false" outlineLevel="0" collapsed="false">
      <c r="A252" s="11" t="n">
        <v>94</v>
      </c>
      <c r="B252" s="5" t="s">
        <v>31</v>
      </c>
      <c r="C252" s="5" t="s">
        <v>103</v>
      </c>
      <c r="D252" s="5" t="str">
        <f aca="false">IF(OR(LEFT(C252, 2)="SE", LEFT(C252, 2)="S4"), "C6", IF(LEFT(C252, 2)="S1", "C1", IF(OR(LEFT(C252, 2)="S2", LEFT(C252, 2)="S5"), "C3&amp;5", IF(LEFT(C252, 2)="S3", "C4", IF(LEFT(C252, 2)="SC", "C7", IF(LEFT(C252, 2)="S6", "C2", "Other"))))))</f>
        <v>C6</v>
      </c>
      <c r="E252" s="5" t="n">
        <v>1</v>
      </c>
      <c r="F252" s="5" t="s">
        <v>734</v>
      </c>
      <c r="G252" s="12" t="s">
        <v>34</v>
      </c>
      <c r="H252" s="5" t="s">
        <v>735</v>
      </c>
      <c r="I252" s="5" t="s">
        <v>736</v>
      </c>
      <c r="J252" s="5"/>
    </row>
    <row r="253" customFormat="false" ht="14.5" hidden="true" customHeight="false" outlineLevel="0" collapsed="false">
      <c r="A253" s="13" t="n">
        <v>94</v>
      </c>
      <c r="B253" s="1" t="s">
        <v>37</v>
      </c>
      <c r="C253" s="1" t="s">
        <v>377</v>
      </c>
      <c r="D253" s="1" t="str">
        <f aca="false">IF(OR(LEFT(C253, 2)="SE", LEFT(C253, 2)="S4"), "C6", IF(LEFT(C253, 2)="S1", "C1", IF(OR(LEFT(C253, 2)="S2", LEFT(C253, 2)="S5"), "C3&amp;5", IF(LEFT(C253, 2)="S3", "C4", IF(LEFT(C253, 2)="SC", "C7", IF(LEFT(C253, 2)="S6", "C2", "Other"))))))</f>
        <v>C6</v>
      </c>
      <c r="E253" s="1" t="n">
        <v>4</v>
      </c>
      <c r="F253" s="1" t="s">
        <v>737</v>
      </c>
      <c r="G253" s="12" t="s">
        <v>34</v>
      </c>
      <c r="H253" s="1" t="s">
        <v>738</v>
      </c>
      <c r="I253" s="1" t="s">
        <v>739</v>
      </c>
      <c r="J253" s="1"/>
    </row>
    <row r="254" customFormat="false" ht="14.5" hidden="true" customHeight="false" outlineLevel="0" collapsed="false">
      <c r="A254" s="11" t="n">
        <v>96</v>
      </c>
      <c r="B254" s="5" t="s">
        <v>123</v>
      </c>
      <c r="C254" s="5" t="s">
        <v>32</v>
      </c>
      <c r="D254" s="5" t="str">
        <f aca="false">IF(OR(LEFT(C254, 2)="SE", LEFT(C254, 2)="S4"), "C6", IF(LEFT(C254, 2)="S1", "C1", IF(OR(LEFT(C254, 2)="S2", LEFT(C254, 2)="S5"), "C3&amp;5", IF(LEFT(C254, 2)="S3", "C4", IF(LEFT(C254, 2)="SC", "C7", IF(LEFT(C254, 2)="S6", "C2", "Other"))))))</f>
        <v>C6</v>
      </c>
      <c r="E254" s="5" t="n">
        <v>2</v>
      </c>
      <c r="F254" s="5" t="s">
        <v>658</v>
      </c>
      <c r="G254" s="12" t="s">
        <v>125</v>
      </c>
      <c r="H254" s="5" t="s">
        <v>740</v>
      </c>
      <c r="I254" s="5" t="s">
        <v>741</v>
      </c>
      <c r="J254" s="5"/>
    </row>
    <row r="255" customFormat="false" ht="14.5" hidden="true" customHeight="false" outlineLevel="0" collapsed="false">
      <c r="A255" s="13" t="n">
        <v>97</v>
      </c>
      <c r="B255" s="1" t="s">
        <v>123</v>
      </c>
      <c r="C255" s="1" t="s">
        <v>32</v>
      </c>
      <c r="D255" s="1" t="str">
        <f aca="false">IF(OR(LEFT(C255, 2)="SE", LEFT(C255, 2)="S4"), "C6", IF(LEFT(C255, 2)="S1", "C1", IF(OR(LEFT(C255, 2)="S2", LEFT(C255, 2)="S5"), "C3&amp;5", IF(LEFT(C255, 2)="S3", "C4", IF(LEFT(C255, 2)="SC", "C7", IF(LEFT(C255, 2)="S6", "C2", "Other"))))))</f>
        <v>C6</v>
      </c>
      <c r="E255" s="1" t="n">
        <v>2</v>
      </c>
      <c r="F255" s="1" t="s">
        <v>742</v>
      </c>
      <c r="G255" s="12" t="s">
        <v>125</v>
      </c>
      <c r="H255" s="1" t="s">
        <v>743</v>
      </c>
      <c r="I255" s="1" t="s">
        <v>744</v>
      </c>
      <c r="J255" s="1"/>
    </row>
    <row r="256" customFormat="false" ht="14.5" hidden="true" customHeight="false" outlineLevel="0" collapsed="false">
      <c r="A256" s="11" t="n">
        <v>97</v>
      </c>
      <c r="B256" s="5" t="s">
        <v>37</v>
      </c>
      <c r="C256" s="5" t="s">
        <v>48</v>
      </c>
      <c r="D256" s="5" t="str">
        <f aca="false">IF(OR(LEFT(C256, 2)="SE", LEFT(C256, 2)="S4"), "C6", IF(LEFT(C256, 2)="S1", "C1", IF(OR(LEFT(C256, 2)="S2", LEFT(C256, 2)="S5"), "C3&amp;5", IF(LEFT(C256, 2)="S3", "C4", IF(LEFT(C256, 2)="SC", "C7", IF(LEFT(C256, 2)="S6", "C2", "Other"))))))</f>
        <v>C2</v>
      </c>
      <c r="E256" s="5" t="n">
        <v>4</v>
      </c>
      <c r="F256" s="5" t="s">
        <v>742</v>
      </c>
      <c r="G256" s="12" t="s">
        <v>125</v>
      </c>
      <c r="H256" s="5" t="s">
        <v>745</v>
      </c>
      <c r="I256" s="5" t="s">
        <v>746</v>
      </c>
      <c r="J256" s="5"/>
    </row>
    <row r="257" customFormat="false" ht="14.5" hidden="false" customHeight="false" outlineLevel="0" collapsed="false">
      <c r="A257" s="13" t="n">
        <v>97</v>
      </c>
      <c r="B257" s="1" t="s">
        <v>42</v>
      </c>
      <c r="C257" s="1" t="s">
        <v>1</v>
      </c>
      <c r="D257" s="1" t="str">
        <f aca="false">IF(OR(LEFT(C257, 2)="SE", LEFT(C257, 2)="S4"), "C6", IF(LEFT(C257, 2)="S1", "C1", IF(OR(LEFT(C257, 2)="S2", LEFT(C257, 2)="S5"), "C3&amp;5", IF(LEFT(C257, 2)="S3", "C4", IF(LEFT(C257, 2)="SC", "C7", IF(LEFT(C257, 2)="S6", "C2", "Other"))))))</f>
        <v>C7</v>
      </c>
      <c r="E257" s="1" t="n">
        <v>3</v>
      </c>
      <c r="F257" s="1" t="s">
        <v>747</v>
      </c>
      <c r="G257" s="12" t="s">
        <v>34</v>
      </c>
      <c r="H257" s="1" t="s">
        <v>748</v>
      </c>
      <c r="I257" s="1" t="s">
        <v>749</v>
      </c>
      <c r="J257" s="1"/>
    </row>
    <row r="258" customFormat="false" ht="14.5" hidden="false" customHeight="false" outlineLevel="0" collapsed="false">
      <c r="A258" s="11" t="n">
        <v>98</v>
      </c>
      <c r="B258" s="5" t="s">
        <v>123</v>
      </c>
      <c r="C258" s="5" t="s">
        <v>1</v>
      </c>
      <c r="D258" s="5" t="str">
        <f aca="false">IF(OR(LEFT(C258, 2)="SE", LEFT(C258, 2)="S4"), "C6", IF(LEFT(C258, 2)="S1", "C1", IF(OR(LEFT(C258, 2)="S2", LEFT(C258, 2)="S5"), "C3&amp;5", IF(LEFT(C258, 2)="S3", "C4", IF(LEFT(C258, 2)="SC", "C7", IF(LEFT(C258, 2)="S6", "C2", "Other"))))))</f>
        <v>C7</v>
      </c>
      <c r="E258" s="5" t="n">
        <v>1</v>
      </c>
      <c r="F258" s="5" t="s">
        <v>750</v>
      </c>
      <c r="G258" s="12" t="s">
        <v>34</v>
      </c>
      <c r="H258" s="5" t="s">
        <v>751</v>
      </c>
      <c r="I258" s="5" t="s">
        <v>752</v>
      </c>
      <c r="J258" s="5"/>
    </row>
    <row r="259" customFormat="false" ht="14.5" hidden="false" customHeight="false" outlineLevel="0" collapsed="false">
      <c r="A259" s="13" t="n">
        <v>98</v>
      </c>
      <c r="B259" s="1" t="s">
        <v>42</v>
      </c>
      <c r="C259" s="1" t="s">
        <v>1</v>
      </c>
      <c r="D259" s="1" t="str">
        <f aca="false">IF(OR(LEFT(C259, 2)="SE", LEFT(C259, 2)="S4"), "C6", IF(LEFT(C259, 2)="S1", "C1", IF(OR(LEFT(C259, 2)="S2", LEFT(C259, 2)="S5"), "C3&amp;5", IF(LEFT(C259, 2)="S3", "C4", IF(LEFT(C259, 2)="SC", "C7", IF(LEFT(C259, 2)="S6", "C2", "Other"))))))</f>
        <v>C7</v>
      </c>
      <c r="E259" s="1" t="n">
        <v>1</v>
      </c>
      <c r="F259" s="1" t="s">
        <v>753</v>
      </c>
      <c r="G259" s="12" t="s">
        <v>34</v>
      </c>
      <c r="H259" s="1" t="s">
        <v>754</v>
      </c>
      <c r="I259" s="1" t="s">
        <v>755</v>
      </c>
      <c r="J259" s="1"/>
    </row>
    <row r="260" customFormat="false" ht="14.5" hidden="true" customHeight="false" outlineLevel="0" collapsed="false">
      <c r="A260" s="11" t="n">
        <v>100</v>
      </c>
      <c r="B260" s="5" t="s">
        <v>37</v>
      </c>
      <c r="C260" s="5" t="s">
        <v>103</v>
      </c>
      <c r="D260" s="5" t="str">
        <f aca="false">IF(OR(LEFT(C260, 2)="SE", LEFT(C260, 2)="S4"), "C6", IF(LEFT(C260, 2)="S1", "C1", IF(OR(LEFT(C260, 2)="S2", LEFT(C260, 2)="S5"), "C3&amp;5", IF(LEFT(C260, 2)="S3", "C4", IF(LEFT(C260, 2)="SC", "C7", IF(LEFT(C260, 2)="S6", "C2", "Other"))))))</f>
        <v>C6</v>
      </c>
      <c r="E260" s="5" t="n">
        <v>3</v>
      </c>
      <c r="F260" s="5" t="s">
        <v>543</v>
      </c>
      <c r="G260" s="12" t="s">
        <v>34</v>
      </c>
      <c r="H260" s="5" t="s">
        <v>756</v>
      </c>
      <c r="I260" s="5" t="s">
        <v>757</v>
      </c>
      <c r="J260" s="5"/>
    </row>
    <row r="261" customFormat="false" ht="14.5" hidden="true" customHeight="false" outlineLevel="0" collapsed="false">
      <c r="A261" s="1" t="n">
        <v>101</v>
      </c>
      <c r="B261" s="1" t="s">
        <v>123</v>
      </c>
      <c r="C261" s="1" t="s">
        <v>43</v>
      </c>
      <c r="D261" s="1" t="str">
        <f aca="false">IF(OR(LEFT(C261, 2)="SE", LEFT(C261, 2)="S4"), "C6", IF(LEFT(C261, 2)="S1", "C1", IF(OR(LEFT(C261, 2)="S2", LEFT(C261, 2)="S5"), "C3&amp;5", IF(LEFT(C261, 2)="S3", "C4", IF(LEFT(C261, 2)="SC", "C7", IF(LEFT(C261, 2)="S6", "C2", "Other"))))))</f>
        <v>C2</v>
      </c>
      <c r="E261" s="1" t="n">
        <v>1</v>
      </c>
      <c r="F261" s="1" t="s">
        <v>180</v>
      </c>
      <c r="G261" s="12" t="s">
        <v>77</v>
      </c>
      <c r="H261" s="1" t="s">
        <v>758</v>
      </c>
      <c r="I261" s="1" t="s">
        <v>759</v>
      </c>
      <c r="J261" s="1"/>
    </row>
    <row r="262" customFormat="false" ht="14.5" hidden="true" customHeight="false" outlineLevel="0" collapsed="false">
      <c r="A262" s="5" t="n">
        <v>101</v>
      </c>
      <c r="B262" s="5" t="s">
        <v>31</v>
      </c>
      <c r="C262" s="5" t="s">
        <v>96</v>
      </c>
      <c r="D262" s="5" t="str">
        <f aca="false">IF(OR(LEFT(C262, 2)="SE", LEFT(C262, 2)="S4"), "C6", IF(LEFT(C262, 2)="S1", "C1", IF(OR(LEFT(C262, 2)="S2", LEFT(C262, 2)="S5"), "C3&amp;5", IF(LEFT(C262, 2)="S3", "C4", IF(LEFT(C262, 2)="SC", "C7", IF(LEFT(C262, 2)="S6", "C2", "Other"))))))</f>
        <v>C2</v>
      </c>
      <c r="E262" s="5" t="n">
        <v>3</v>
      </c>
      <c r="F262" s="26" t="s">
        <v>180</v>
      </c>
      <c r="G262" s="12" t="s">
        <v>77</v>
      </c>
      <c r="H262" s="5" t="s">
        <v>760</v>
      </c>
      <c r="I262" s="5" t="s">
        <v>761</v>
      </c>
      <c r="J262" s="5"/>
    </row>
    <row r="263" customFormat="false" ht="14.5" hidden="true" customHeight="false" outlineLevel="0" collapsed="false">
      <c r="A263" s="13" t="n">
        <v>102</v>
      </c>
      <c r="B263" s="1" t="s">
        <v>123</v>
      </c>
      <c r="C263" s="1" t="s">
        <v>179</v>
      </c>
      <c r="D263" s="1" t="str">
        <f aca="false">IF(OR(LEFT(C263, 2)="SE", LEFT(C263, 2)="S4"), "C6", IF(LEFT(C263, 2)="S1", "C1", IF(OR(LEFT(C263, 2)="S2", LEFT(C263, 2)="S5"), "C3&amp;5", IF(LEFT(C263, 2)="S3", "C4", IF(LEFT(C263, 2)="SC", "C7", IF(LEFT(C263, 2)="S6", "C2", "Other"))))))</f>
        <v>C2</v>
      </c>
      <c r="E263" s="1" t="n">
        <v>1</v>
      </c>
      <c r="F263" s="1" t="s">
        <v>762</v>
      </c>
      <c r="G263" s="12" t="s">
        <v>34</v>
      </c>
      <c r="H263" s="1" t="s">
        <v>763</v>
      </c>
      <c r="I263" s="1" t="s">
        <v>764</v>
      </c>
      <c r="J263" s="1"/>
    </row>
    <row r="264" customFormat="false" ht="14.5" hidden="true" customHeight="false" outlineLevel="0" collapsed="false">
      <c r="A264" s="11" t="n">
        <v>103</v>
      </c>
      <c r="B264" s="5" t="s">
        <v>123</v>
      </c>
      <c r="C264" s="5" t="s">
        <v>81</v>
      </c>
      <c r="D264" s="5" t="str">
        <f aca="false">IF(OR(LEFT(C264, 2)="SE", LEFT(C264, 2)="S4"), "C6", IF(LEFT(C264, 2)="S1", "C1", IF(OR(LEFT(C264, 2)="S2", LEFT(C264, 2)="S5"), "C3&amp;5", IF(LEFT(C264, 2)="S3", "C4", IF(LEFT(C264, 2)="SC", "C7", IF(LEFT(C264, 2)="S6", "C2", "Other"))))))</f>
        <v>C3&amp;5</v>
      </c>
      <c r="E264" s="5" t="n">
        <v>5</v>
      </c>
      <c r="F264" s="5" t="s">
        <v>765</v>
      </c>
      <c r="G264" s="12" t="e">
        <f aca="false">#N/A</f>
        <v>#N/A</v>
      </c>
      <c r="H264" s="5" t="s">
        <v>766</v>
      </c>
      <c r="I264" s="5" t="s">
        <v>767</v>
      </c>
      <c r="J264" s="5"/>
    </row>
    <row r="265" customFormat="false" ht="14.5" hidden="false" customHeight="false" outlineLevel="0" collapsed="false">
      <c r="A265" s="13" t="n">
        <v>103</v>
      </c>
      <c r="B265" s="1" t="s">
        <v>31</v>
      </c>
      <c r="C265" s="1" t="s">
        <v>1</v>
      </c>
      <c r="D265" s="1" t="str">
        <f aca="false">IF(OR(LEFT(C265, 2)="SE", LEFT(C265, 2)="S4"), "C6", IF(LEFT(C265, 2)="S1", "C1", IF(OR(LEFT(C265, 2)="S2", LEFT(C265, 2)="S5"), "C3&amp;5", IF(LEFT(C265, 2)="S3", "C4", IF(LEFT(C265, 2)="SC", "C7", IF(LEFT(C265, 2)="S6", "C2", "Other"))))))</f>
        <v>C7</v>
      </c>
      <c r="E265" s="1" t="n">
        <v>3</v>
      </c>
      <c r="F265" s="1" t="s">
        <v>768</v>
      </c>
      <c r="G265" s="12" t="s">
        <v>34</v>
      </c>
      <c r="H265" s="1" t="s">
        <v>769</v>
      </c>
      <c r="I265" s="1" t="s">
        <v>770</v>
      </c>
      <c r="J265" s="1"/>
    </row>
    <row r="266" customFormat="false" ht="14.5" hidden="true" customHeight="false" outlineLevel="0" collapsed="false">
      <c r="A266" s="20" t="n">
        <v>104</v>
      </c>
      <c r="B266" s="5" t="s">
        <v>31</v>
      </c>
      <c r="C266" s="5" t="s">
        <v>75</v>
      </c>
      <c r="D266" s="5" t="str">
        <f aca="false">IF(OR(LEFT(C266, 2)="SE", LEFT(C266, 2)="S4"), "C6", IF(LEFT(C266, 2)="S1", "C1", IF(OR(LEFT(C266, 2)="S2", LEFT(C266, 2)="S5"), "C3&amp;5", IF(LEFT(C266, 2)="S3", "C4", IF(LEFT(C266, 2)="SC", "C7", IF(LEFT(C266, 2)="S6", "C2", "Other"))))))</f>
        <v>C3&amp;5</v>
      </c>
      <c r="E266" s="5" t="n">
        <v>10</v>
      </c>
      <c r="F266" s="5" t="s">
        <v>771</v>
      </c>
      <c r="G266" s="12" t="s">
        <v>34</v>
      </c>
      <c r="H266" s="5" t="s">
        <v>772</v>
      </c>
      <c r="I266" s="5" t="s">
        <v>773</v>
      </c>
      <c r="J266" s="5"/>
    </row>
    <row r="267" customFormat="false" ht="14.5" hidden="true" customHeight="false" outlineLevel="0" collapsed="false">
      <c r="A267" s="16" t="n">
        <v>104</v>
      </c>
      <c r="B267" s="1" t="s">
        <v>42</v>
      </c>
      <c r="C267" s="1" t="s">
        <v>75</v>
      </c>
      <c r="D267" s="1" t="str">
        <f aca="false">IF(OR(LEFT(C267, 2)="SE", LEFT(C267, 2)="S4"), "C6", IF(LEFT(C267, 2)="S1", "C1", IF(OR(LEFT(C267, 2)="S2", LEFT(C267, 2)="S5"), "C3&amp;5", IF(LEFT(C267, 2)="S3", "C4", IF(LEFT(C267, 2)="SC", "C7", IF(LEFT(C267, 2)="S6", "C2", "Other"))))))</f>
        <v>C3&amp;5</v>
      </c>
      <c r="E267" s="1" t="n">
        <v>12</v>
      </c>
      <c r="F267" s="1" t="s">
        <v>774</v>
      </c>
      <c r="G267" s="12" t="s">
        <v>34</v>
      </c>
      <c r="H267" s="1" t="s">
        <v>775</v>
      </c>
      <c r="I267" s="1" t="s">
        <v>776</v>
      </c>
      <c r="J267" s="1"/>
    </row>
    <row r="268" customFormat="false" ht="14.5" hidden="true" customHeight="false" outlineLevel="0" collapsed="false">
      <c r="A268" s="5" t="n">
        <v>105</v>
      </c>
      <c r="B268" s="5" t="s">
        <v>31</v>
      </c>
      <c r="C268" s="5" t="s">
        <v>103</v>
      </c>
      <c r="D268" s="5" t="str">
        <f aca="false">IF(OR(LEFT(C268, 2)="SE", LEFT(C268, 2)="S4"), "C6", IF(LEFT(C268, 2)="S1", "C1", IF(OR(LEFT(C268, 2)="S2", LEFT(C268, 2)="S5"), "C3&amp;5", IF(LEFT(C268, 2)="S3", "C4", IF(LEFT(C268, 2)="SC", "C7", IF(LEFT(C268, 2)="S6", "C2", "Other"))))))</f>
        <v>C6</v>
      </c>
      <c r="E268" s="5" t="n">
        <v>1</v>
      </c>
      <c r="F268" s="5" t="s">
        <v>180</v>
      </c>
      <c r="G268" s="12" t="s">
        <v>77</v>
      </c>
      <c r="H268" s="5" t="s">
        <v>777</v>
      </c>
      <c r="I268" s="5" t="s">
        <v>778</v>
      </c>
      <c r="J268" s="5"/>
    </row>
    <row r="269" customFormat="false" ht="14.5" hidden="true" customHeight="false" outlineLevel="0" collapsed="false">
      <c r="A269" s="13" t="n">
        <v>107</v>
      </c>
      <c r="B269" s="1" t="s">
        <v>31</v>
      </c>
      <c r="C269" s="1" t="s">
        <v>81</v>
      </c>
      <c r="D269" s="1" t="str">
        <f aca="false">IF(OR(LEFT(C269, 2)="SE", LEFT(C269, 2)="S4"), "C6", IF(LEFT(C269, 2)="S1", "C1", IF(OR(LEFT(C269, 2)="S2", LEFT(C269, 2)="S5"), "C3&amp;5", IF(LEFT(C269, 2)="S3", "C4", IF(LEFT(C269, 2)="SC", "C7", IF(LEFT(C269, 2)="S6", "C2", "Other"))))))</f>
        <v>C3&amp;5</v>
      </c>
      <c r="E269" s="1" t="n">
        <v>8</v>
      </c>
      <c r="F269" s="1" t="s">
        <v>779</v>
      </c>
      <c r="G269" s="12" t="s">
        <v>77</v>
      </c>
      <c r="H269" s="1" t="s">
        <v>780</v>
      </c>
      <c r="I269" s="1" t="s">
        <v>781</v>
      </c>
      <c r="J269" s="1"/>
    </row>
    <row r="270" customFormat="false" ht="14.5" hidden="true" customHeight="false" outlineLevel="0" collapsed="false">
      <c r="A270" s="11" t="n">
        <v>107</v>
      </c>
      <c r="B270" s="5" t="s">
        <v>211</v>
      </c>
      <c r="C270" s="5" t="s">
        <v>1</v>
      </c>
      <c r="D270" s="5" t="str">
        <f aca="false">IF(OR(LEFT(C270, 2)="SE", LEFT(C270, 2)="S4"), "C6", IF(LEFT(C270, 2)="S1", "C1", IF(OR(LEFT(C270, 2)="S2", LEFT(C270, 2)="S5"), "C3&amp;5", IF(LEFT(C270, 2)="S3", "C4", IF(LEFT(C270, 2)="SC", "C7", IF(LEFT(C270, 2)="S6", "C2", "Other"))))))</f>
        <v>C7</v>
      </c>
      <c r="E270" s="5" t="n">
        <v>1</v>
      </c>
      <c r="F270" s="26" t="s">
        <v>782</v>
      </c>
      <c r="G270" s="12" t="s">
        <v>77</v>
      </c>
      <c r="H270" s="5" t="s">
        <v>783</v>
      </c>
      <c r="I270" s="5" t="s">
        <v>784</v>
      </c>
      <c r="J270" s="5"/>
    </row>
    <row r="271" customFormat="false" ht="14.5" hidden="false" customHeight="false" outlineLevel="0" collapsed="false">
      <c r="A271" s="13" t="n">
        <v>109</v>
      </c>
      <c r="B271" s="1" t="s">
        <v>123</v>
      </c>
      <c r="C271" s="1" t="s">
        <v>1</v>
      </c>
      <c r="D271" s="1" t="str">
        <f aca="false">IF(OR(LEFT(C271, 2)="SE", LEFT(C271, 2)="S4"), "C6", IF(LEFT(C271, 2)="S1", "C1", IF(OR(LEFT(C271, 2)="S2", LEFT(C271, 2)="S5"), "C3&amp;5", IF(LEFT(C271, 2)="S3", "C4", IF(LEFT(C271, 2)="SC", "C7", IF(LEFT(C271, 2)="S6", "C2", "Other"))))))</f>
        <v>C7</v>
      </c>
      <c r="E271" s="1" t="n">
        <v>2</v>
      </c>
      <c r="F271" s="21" t="s">
        <v>785</v>
      </c>
      <c r="G271" s="12" t="s">
        <v>125</v>
      </c>
      <c r="H271" s="1" t="s">
        <v>786</v>
      </c>
      <c r="I271" s="1" t="s">
        <v>787</v>
      </c>
      <c r="J271" s="1"/>
    </row>
    <row r="272" customFormat="false" ht="14.5" hidden="true" customHeight="false" outlineLevel="0" collapsed="false">
      <c r="A272" s="11" t="n">
        <v>110</v>
      </c>
      <c r="B272" s="5" t="s">
        <v>123</v>
      </c>
      <c r="C272" s="5" t="s">
        <v>43</v>
      </c>
      <c r="D272" s="5" t="str">
        <f aca="false">IF(OR(LEFT(C272, 2)="SE", LEFT(C272, 2)="S4"), "C6", IF(LEFT(C272, 2)="S1", "C1", IF(OR(LEFT(C272, 2)="S2", LEFT(C272, 2)="S5"), "C3&amp;5", IF(LEFT(C272, 2)="S3", "C4", IF(LEFT(C272, 2)="SC", "C7", IF(LEFT(C272, 2)="S6", "C2", "Other"))))))</f>
        <v>C2</v>
      </c>
      <c r="E272" s="5" t="n">
        <v>11</v>
      </c>
      <c r="F272" s="5" t="s">
        <v>788</v>
      </c>
      <c r="G272" s="12" t="s">
        <v>125</v>
      </c>
      <c r="H272" s="5" t="s">
        <v>789</v>
      </c>
      <c r="I272" s="5" t="s">
        <v>790</v>
      </c>
      <c r="J272" s="5"/>
    </row>
    <row r="273" customFormat="false" ht="14.5" hidden="true" customHeight="false" outlineLevel="0" collapsed="false">
      <c r="A273" s="13" t="n">
        <v>112</v>
      </c>
      <c r="B273" s="1" t="s">
        <v>123</v>
      </c>
      <c r="C273" s="1" t="s">
        <v>179</v>
      </c>
      <c r="D273" s="1" t="str">
        <f aca="false">IF(OR(LEFT(C273, 2)="SE", LEFT(C273, 2)="S4"), "C6", IF(LEFT(C273, 2)="S1", "C1", IF(OR(LEFT(C273, 2)="S2", LEFT(C273, 2)="S5"), "C3&amp;5", IF(LEFT(C273, 2)="S3", "C4", IF(LEFT(C273, 2)="SC", "C7", IF(LEFT(C273, 2)="S6", "C2", "Other"))))))</f>
        <v>C2</v>
      </c>
      <c r="E273" s="1" t="n">
        <v>2</v>
      </c>
      <c r="F273" s="1" t="s">
        <v>791</v>
      </c>
      <c r="G273" s="12" t="s">
        <v>34</v>
      </c>
      <c r="H273" s="1" t="s">
        <v>792</v>
      </c>
      <c r="I273" s="1" t="s">
        <v>793</v>
      </c>
      <c r="J273" s="1"/>
    </row>
    <row r="274" customFormat="false" ht="14.5" hidden="true" customHeight="false" outlineLevel="0" collapsed="false">
      <c r="A274" s="20" t="n">
        <v>112</v>
      </c>
      <c r="B274" s="5" t="s">
        <v>31</v>
      </c>
      <c r="C274" s="5" t="s">
        <v>56</v>
      </c>
      <c r="D274" s="5" t="str">
        <f aca="false">IF(OR(LEFT(C274, 2)="SE", LEFT(C274, 2)="S4"), "C6", IF(LEFT(C274, 2)="S1", "C1", IF(OR(LEFT(C274, 2)="S2", LEFT(C274, 2)="S5"), "C3&amp;5", IF(LEFT(C274, 2)="S3", "C4", IF(LEFT(C274, 2)="SC", "C7", IF(LEFT(C274, 2)="S6", "C2", "Other"))))))</f>
        <v>C4</v>
      </c>
      <c r="E274" s="5" t="n">
        <v>1</v>
      </c>
      <c r="F274" s="5" t="s">
        <v>791</v>
      </c>
      <c r="G274" s="12" t="s">
        <v>34</v>
      </c>
      <c r="H274" s="5" t="s">
        <v>794</v>
      </c>
      <c r="I274" s="5" t="s">
        <v>795</v>
      </c>
      <c r="J274" s="5"/>
    </row>
    <row r="275" customFormat="false" ht="14.5" hidden="true" customHeight="false" outlineLevel="0" collapsed="false">
      <c r="A275" s="13" t="n">
        <v>113</v>
      </c>
      <c r="B275" s="1" t="s">
        <v>123</v>
      </c>
      <c r="C275" s="1" t="s">
        <v>1</v>
      </c>
      <c r="D275" s="1" t="str">
        <f aca="false">IF(OR(LEFT(C275, 2)="SE", LEFT(C275, 2)="S4"), "C6", IF(LEFT(C275, 2)="S1", "C1", IF(OR(LEFT(C275, 2)="S2", LEFT(C275, 2)="S5"), "C3&amp;5", IF(LEFT(C275, 2)="S3", "C4", IF(LEFT(C275, 2)="SC", "C7", IF(LEFT(C275, 2)="S6", "C2", "Other"))))))</f>
        <v>C7</v>
      </c>
      <c r="E275" s="1" t="n">
        <v>3</v>
      </c>
      <c r="F275" s="1" t="s">
        <v>796</v>
      </c>
      <c r="G275" s="12" t="s">
        <v>77</v>
      </c>
      <c r="H275" s="1" t="s">
        <v>797</v>
      </c>
      <c r="I275" s="1" t="s">
        <v>798</v>
      </c>
      <c r="J275" s="1"/>
    </row>
    <row r="276" customFormat="false" ht="14.5" hidden="true" customHeight="false" outlineLevel="0" collapsed="false">
      <c r="A276" s="11" t="n">
        <v>113</v>
      </c>
      <c r="B276" s="5" t="s">
        <v>31</v>
      </c>
      <c r="C276" s="5" t="s">
        <v>65</v>
      </c>
      <c r="D276" s="5" t="str">
        <f aca="false">IF(OR(LEFT(C276, 2)="SE", LEFT(C276, 2)="S4"), "C6", IF(LEFT(C276, 2)="S1", "C1", IF(OR(LEFT(C276, 2)="S2", LEFT(C276, 2)="S5"), "C3&amp;5", IF(LEFT(C276, 2)="S3", "C4", IF(LEFT(C276, 2)="SC", "C7", IF(LEFT(C276, 2)="S6", "C2", "Other"))))))</f>
        <v>C6</v>
      </c>
      <c r="E276" s="5" t="n">
        <v>10</v>
      </c>
      <c r="F276" s="5" t="s">
        <v>799</v>
      </c>
      <c r="G276" s="12" t="s">
        <v>77</v>
      </c>
      <c r="H276" s="5" t="s">
        <v>800</v>
      </c>
      <c r="I276" s="5" t="s">
        <v>801</v>
      </c>
      <c r="J276" s="5"/>
    </row>
    <row r="277" customFormat="false" ht="14.5" hidden="true" customHeight="false" outlineLevel="0" collapsed="false">
      <c r="A277" s="16" t="n">
        <v>113</v>
      </c>
      <c r="B277" s="1" t="s">
        <v>37</v>
      </c>
      <c r="C277" s="1" t="s">
        <v>56</v>
      </c>
      <c r="D277" s="1" t="str">
        <f aca="false">IF(OR(LEFT(C277, 2)="SE", LEFT(C277, 2)="S4"), "C6", IF(LEFT(C277, 2)="S1", "C1", IF(OR(LEFT(C277, 2)="S2", LEFT(C277, 2)="S5"), "C3&amp;5", IF(LEFT(C277, 2)="S3", "C4", IF(LEFT(C277, 2)="SC", "C7", IF(LEFT(C277, 2)="S6", "C2", "Other"))))))</f>
        <v>C4</v>
      </c>
      <c r="E277" s="1" t="n">
        <v>9</v>
      </c>
      <c r="F277" s="1" t="s">
        <v>799</v>
      </c>
      <c r="G277" s="12" t="s">
        <v>77</v>
      </c>
      <c r="H277" s="1" t="s">
        <v>802</v>
      </c>
      <c r="I277" s="1" t="s">
        <v>803</v>
      </c>
      <c r="J277" s="1"/>
    </row>
    <row r="278" customFormat="false" ht="14.5" hidden="true" customHeight="false" outlineLevel="0" collapsed="false">
      <c r="A278" s="20" t="n">
        <v>113</v>
      </c>
      <c r="B278" s="5" t="s">
        <v>42</v>
      </c>
      <c r="C278" s="5" t="s">
        <v>585</v>
      </c>
      <c r="D278" s="5" t="str">
        <f aca="false">IF(OR(LEFT(C278, 2)="SE", LEFT(C278, 2)="S4"), "C6", IF(LEFT(C278, 2)="S1", "C1", IF(OR(LEFT(C278, 2)="S2", LEFT(C278, 2)="S5"), "C3&amp;5", IF(LEFT(C278, 2)="S3", "C4", IF(LEFT(C278, 2)="SC", "C7", IF(LEFT(C278, 2)="S6", "C2", "Other"))))))</f>
        <v>C3&amp;5</v>
      </c>
      <c r="E278" s="5" t="n">
        <v>7</v>
      </c>
      <c r="F278" s="5" t="s">
        <v>799</v>
      </c>
      <c r="G278" s="12" t="s">
        <v>77</v>
      </c>
      <c r="H278" s="5" t="s">
        <v>804</v>
      </c>
      <c r="I278" s="5" t="s">
        <v>805</v>
      </c>
      <c r="J278" s="5"/>
    </row>
    <row r="279" customFormat="false" ht="14.5" hidden="true" customHeight="false" outlineLevel="0" collapsed="false">
      <c r="A279" s="13" t="n">
        <v>113</v>
      </c>
      <c r="B279" s="1" t="s">
        <v>47</v>
      </c>
      <c r="C279" s="1" t="s">
        <v>48</v>
      </c>
      <c r="D279" s="1" t="str">
        <f aca="false">IF(OR(LEFT(C279, 2)="SE", LEFT(C279, 2)="S4"), "C6", IF(LEFT(C279, 2)="S1", "C1", IF(OR(LEFT(C279, 2)="S2", LEFT(C279, 2)="S5"), "C3&amp;5", IF(LEFT(C279, 2)="S3", "C4", IF(LEFT(C279, 2)="SC", "C7", IF(LEFT(C279, 2)="S6", "C2", "Other"))))))</f>
        <v>C2</v>
      </c>
      <c r="E279" s="1" t="n">
        <v>4</v>
      </c>
      <c r="F279" s="1" t="s">
        <v>799</v>
      </c>
      <c r="G279" s="12" t="s">
        <v>77</v>
      </c>
      <c r="H279" s="1" t="s">
        <v>806</v>
      </c>
      <c r="I279" s="1" t="s">
        <v>807</v>
      </c>
      <c r="J279" s="1"/>
    </row>
    <row r="280" customFormat="false" ht="14.5" hidden="false" customHeight="false" outlineLevel="0" collapsed="false">
      <c r="A280" s="11" t="n">
        <v>115</v>
      </c>
      <c r="B280" s="5" t="s">
        <v>31</v>
      </c>
      <c r="C280" s="5" t="s">
        <v>1</v>
      </c>
      <c r="D280" s="5" t="str">
        <f aca="false">IF(OR(LEFT(C280, 2)="SE", LEFT(C280, 2)="S4"), "C6", IF(LEFT(C280, 2)="S1", "C1", IF(OR(LEFT(C280, 2)="S2", LEFT(C280, 2)="S5"), "C3&amp;5", IF(LEFT(C280, 2)="S3", "C4", IF(LEFT(C280, 2)="SC", "C7", IF(LEFT(C280, 2)="S6", "C2", "Other"))))))</f>
        <v>C7</v>
      </c>
      <c r="E280" s="5" t="n">
        <v>2</v>
      </c>
      <c r="F280" s="5" t="s">
        <v>808</v>
      </c>
      <c r="G280" s="12" t="s">
        <v>125</v>
      </c>
      <c r="H280" s="5" t="s">
        <v>809</v>
      </c>
      <c r="I280" s="5" t="s">
        <v>810</v>
      </c>
      <c r="J280" s="5"/>
    </row>
    <row r="281" customFormat="false" ht="14.5" hidden="false" customHeight="false" outlineLevel="0" collapsed="false">
      <c r="A281" s="13" t="n">
        <v>122</v>
      </c>
      <c r="B281" s="1" t="s">
        <v>31</v>
      </c>
      <c r="C281" s="1" t="s">
        <v>1</v>
      </c>
      <c r="D281" s="1" t="str">
        <f aca="false">IF(OR(LEFT(C281, 2)="SE", LEFT(C281, 2)="S4"), "C6", IF(LEFT(C281, 2)="S1", "C1", IF(OR(LEFT(C281, 2)="S2", LEFT(C281, 2)="S5"), "C3&amp;5", IF(LEFT(C281, 2)="S3", "C4", IF(LEFT(C281, 2)="SC", "C7", IF(LEFT(C281, 2)="S6", "C2", "Other"))))))</f>
        <v>C7</v>
      </c>
      <c r="E281" s="1" t="n">
        <v>3</v>
      </c>
      <c r="F281" s="1" t="s">
        <v>811</v>
      </c>
      <c r="G281" s="12" t="s">
        <v>125</v>
      </c>
      <c r="H281" s="1" t="s">
        <v>812</v>
      </c>
      <c r="I281" s="1" t="s">
        <v>813</v>
      </c>
      <c r="J281" s="1"/>
    </row>
    <row r="282" customFormat="false" ht="14.5" hidden="true" customHeight="false" outlineLevel="0" collapsed="false">
      <c r="A282" s="20" t="n">
        <v>123</v>
      </c>
      <c r="B282" s="5" t="s">
        <v>123</v>
      </c>
      <c r="C282" s="5" t="s">
        <v>144</v>
      </c>
      <c r="D282" s="5" t="str">
        <f aca="false">IF(OR(LEFT(C282, 2)="SE", LEFT(C282, 2)="S4"), "C6", IF(LEFT(C282, 2)="S1", "C1", IF(OR(LEFT(C282, 2)="S2", LEFT(C282, 2)="S5"), "C3&amp;5", IF(LEFT(C282, 2)="S3", "C4", IF(LEFT(C282, 2)="SC", "C7", IF(LEFT(C282, 2)="S6", "C2", "Other"))))))</f>
        <v>C3&amp;5</v>
      </c>
      <c r="E282" s="5" t="n">
        <v>1</v>
      </c>
      <c r="F282" s="5" t="s">
        <v>814</v>
      </c>
      <c r="G282" s="12" t="s">
        <v>34</v>
      </c>
      <c r="H282" s="5" t="s">
        <v>815</v>
      </c>
      <c r="I282" s="5" t="s">
        <v>816</v>
      </c>
      <c r="J282" s="5"/>
    </row>
    <row r="283" customFormat="false" ht="14.5" hidden="true" customHeight="false" outlineLevel="0" collapsed="false">
      <c r="A283" s="13" t="n">
        <v>125</v>
      </c>
      <c r="B283" s="1" t="s">
        <v>123</v>
      </c>
      <c r="C283" s="1" t="s">
        <v>65</v>
      </c>
      <c r="D283" s="1" t="str">
        <f aca="false">IF(OR(LEFT(C283, 2)="SE", LEFT(C283, 2)="S4"), "C6", IF(LEFT(C283, 2)="S1", "C1", IF(OR(LEFT(C283, 2)="S2", LEFT(C283, 2)="S5"), "C3&amp;5", IF(LEFT(C283, 2)="S3", "C4", IF(LEFT(C283, 2)="SC", "C7", IF(LEFT(C283, 2)="S6", "C2", "Other"))))))</f>
        <v>C6</v>
      </c>
      <c r="E283" s="1" t="n">
        <v>6</v>
      </c>
      <c r="F283" s="1" t="s">
        <v>817</v>
      </c>
      <c r="G283" s="12" t="s">
        <v>34</v>
      </c>
      <c r="H283" s="1" t="s">
        <v>818</v>
      </c>
      <c r="I283" s="1" t="s">
        <v>819</v>
      </c>
      <c r="J283" s="1"/>
    </row>
    <row r="284" customFormat="false" ht="14.5" hidden="false" customHeight="false" outlineLevel="0" collapsed="false">
      <c r="A284" s="11" t="n">
        <v>131</v>
      </c>
      <c r="B284" s="5" t="s">
        <v>31</v>
      </c>
      <c r="C284" s="5" t="s">
        <v>1</v>
      </c>
      <c r="D284" s="5" t="str">
        <f aca="false">IF(OR(LEFT(C284, 2)="SE", LEFT(C284, 2)="S4"), "C6", IF(LEFT(C284, 2)="S1", "C1", IF(OR(LEFT(C284, 2)="S2", LEFT(C284, 2)="S5"), "C3&amp;5", IF(LEFT(C284, 2)="S3", "C4", IF(LEFT(C284, 2)="SC", "C7", IF(LEFT(C284, 2)="S6", "C2", "Other"))))))</f>
        <v>C7</v>
      </c>
      <c r="E284" s="5" t="n">
        <v>2</v>
      </c>
      <c r="F284" s="5" t="s">
        <v>820</v>
      </c>
      <c r="G284" s="12" t="s">
        <v>34</v>
      </c>
      <c r="H284" s="5" t="s">
        <v>821</v>
      </c>
      <c r="I284" s="5" t="s">
        <v>822</v>
      </c>
      <c r="J284" s="5"/>
    </row>
    <row r="285" customFormat="false" ht="14.5" hidden="true" customHeight="false" outlineLevel="0" collapsed="false">
      <c r="A285" s="13" t="n">
        <v>143</v>
      </c>
      <c r="B285" s="1" t="s">
        <v>123</v>
      </c>
      <c r="C285" s="1" t="s">
        <v>65</v>
      </c>
      <c r="D285" s="1" t="str">
        <f aca="false">IF(OR(LEFT(C285, 2)="SE", LEFT(C285, 2)="S4"), "C6", IF(LEFT(C285, 2)="S1", "C1", IF(OR(LEFT(C285, 2)="S2", LEFT(C285, 2)="S5"), "C3&amp;5", IF(LEFT(C285, 2)="S3", "C4", IF(LEFT(C285, 2)="SC", "C7", IF(LEFT(C285, 2)="S6", "C2", "Other"))))))</f>
        <v>C6</v>
      </c>
      <c r="E285" s="1" t="n">
        <v>33</v>
      </c>
      <c r="F285" s="1" t="s">
        <v>823</v>
      </c>
      <c r="G285" s="12" t="s">
        <v>34</v>
      </c>
      <c r="H285" s="1" t="s">
        <v>824</v>
      </c>
      <c r="I285" s="1" t="s">
        <v>825</v>
      </c>
      <c r="J285" s="1"/>
    </row>
    <row r="286" customFormat="false" ht="14.5" hidden="true" customHeight="false" outlineLevel="0" collapsed="false">
      <c r="A286" s="11" t="n">
        <v>143</v>
      </c>
      <c r="B286" s="5" t="s">
        <v>31</v>
      </c>
      <c r="C286" s="5" t="s">
        <v>212</v>
      </c>
      <c r="D286" s="5" t="str">
        <f aca="false">IF(OR(LEFT(C286, 2)="SE", LEFT(C286, 2)="S4"), "C6", IF(LEFT(C286, 2)="S1", "C1", IF(OR(LEFT(C286, 2)="S2", LEFT(C286, 2)="S5"), "C3&amp;5", IF(LEFT(C286, 2)="S3", "C4", IF(LEFT(C286, 2)="SC", "C7", IF(LEFT(C286, 2)="S6", "C2", "Other"))))))</f>
        <v>C3&amp;5</v>
      </c>
      <c r="E286" s="5" t="n">
        <v>3</v>
      </c>
      <c r="F286" s="5" t="s">
        <v>826</v>
      </c>
      <c r="G286" s="12" t="s">
        <v>77</v>
      </c>
      <c r="H286" s="5" t="s">
        <v>827</v>
      </c>
      <c r="I286" s="5" t="s">
        <v>828</v>
      </c>
      <c r="J286" s="5"/>
    </row>
    <row r="287" customFormat="false" ht="14.5" hidden="true" customHeight="false" outlineLevel="0" collapsed="false">
      <c r="A287" s="16" t="n">
        <v>145</v>
      </c>
      <c r="B287" s="1" t="s">
        <v>31</v>
      </c>
      <c r="C287" s="1" t="s">
        <v>154</v>
      </c>
      <c r="D287" s="1" t="str">
        <f aca="false">IF(OR(LEFT(C287, 2)="SE", LEFT(C287, 2)="S4"), "C6", IF(LEFT(C287, 2)="S1", "C1", IF(OR(LEFT(C287, 2)="S2", LEFT(C287, 2)="S5"), "C3&amp;5", IF(LEFT(C287, 2)="S3", "C4", IF(LEFT(C287, 2)="SC", "C7", IF(LEFT(C287, 2)="S6", "C2", "Other"))))))</f>
        <v>C4</v>
      </c>
      <c r="E287" s="1" t="n">
        <v>1</v>
      </c>
      <c r="F287" s="1" t="s">
        <v>829</v>
      </c>
      <c r="G287" s="12" t="s">
        <v>125</v>
      </c>
      <c r="H287" s="1" t="s">
        <v>830</v>
      </c>
      <c r="I287" s="1" t="s">
        <v>831</v>
      </c>
      <c r="J287" s="1"/>
    </row>
    <row r="288" customFormat="false" ht="14.5" hidden="false" customHeight="false" outlineLevel="0" collapsed="false">
      <c r="A288" s="11" t="n">
        <v>145</v>
      </c>
      <c r="B288" s="5" t="s">
        <v>37</v>
      </c>
      <c r="C288" s="5" t="s">
        <v>1</v>
      </c>
      <c r="D288" s="5" t="str">
        <f aca="false">IF(OR(LEFT(C288, 2)="SE", LEFT(C288, 2)="S4"), "C6", IF(LEFT(C288, 2)="S1", "C1", IF(OR(LEFT(C288, 2)="S2", LEFT(C288, 2)="S5"), "C3&amp;5", IF(LEFT(C288, 2)="S3", "C4", IF(LEFT(C288, 2)="SC", "C7", IF(LEFT(C288, 2)="S6", "C2", "Other"))))))</f>
        <v>C7</v>
      </c>
      <c r="E288" s="5" t="n">
        <v>3</v>
      </c>
      <c r="F288" s="5" t="s">
        <v>832</v>
      </c>
      <c r="G288" s="12" t="s">
        <v>34</v>
      </c>
      <c r="H288" s="5" t="s">
        <v>833</v>
      </c>
      <c r="I288" s="5" t="s">
        <v>834</v>
      </c>
      <c r="J288" s="5"/>
    </row>
    <row r="289" customFormat="false" ht="14.5" hidden="false" customHeight="false" outlineLevel="0" collapsed="false">
      <c r="A289" s="27" t="n">
        <v>190</v>
      </c>
      <c r="B289" s="28" t="s">
        <v>123</v>
      </c>
      <c r="C289" s="28" t="s">
        <v>1</v>
      </c>
      <c r="D289" s="28" t="str">
        <f aca="false">IF(OR(LEFT(C289, 2)="SE", LEFT(C289, 2)="S4"), "C6", IF(LEFT(C289, 2)="S1", "C1", IF(OR(LEFT(C289, 2)="S2", LEFT(C289, 2)="S5"), "C3&amp;5", IF(LEFT(C289, 2)="S3", "C4", IF(LEFT(C289, 2)="SC", "C7", IF(LEFT(C289, 2)="S6", "C2", "Other"))))))</f>
        <v>C7</v>
      </c>
      <c r="E289" s="28" t="n">
        <v>5</v>
      </c>
      <c r="F289" s="28" t="s">
        <v>835</v>
      </c>
      <c r="G289" s="12" t="s">
        <v>34</v>
      </c>
      <c r="H289" s="28" t="s">
        <v>836</v>
      </c>
      <c r="I289" s="28" t="s">
        <v>837</v>
      </c>
      <c r="J289" s="28"/>
    </row>
    <row r="290" customFormat="false" ht="14.5" hidden="false" customHeight="false" outlineLevel="0" collapsed="false">
      <c r="A290" s="11" t="n">
        <v>190</v>
      </c>
      <c r="B290" s="5" t="s">
        <v>31</v>
      </c>
      <c r="C290" s="5" t="s">
        <v>1</v>
      </c>
      <c r="D290" s="5" t="str">
        <f aca="false">IF(OR(LEFT(C290, 2)="SE", LEFT(C290, 2)="S4"), "C6", IF(LEFT(C290, 2)="S1", "C1", IF(OR(LEFT(C290, 2)="S2", LEFT(C290, 2)="S5"), "C3&amp;5", IF(LEFT(C290, 2)="S3", "C4", IF(LEFT(C290, 2)="SC", "C7", IF(LEFT(C290, 2)="S6", "C2", "Other"))))))</f>
        <v>C7</v>
      </c>
      <c r="E290" s="5" t="n">
        <v>13</v>
      </c>
      <c r="F290" s="5" t="s">
        <v>835</v>
      </c>
      <c r="G290" s="12" t="s">
        <v>34</v>
      </c>
      <c r="H290" s="5" t="s">
        <v>838</v>
      </c>
      <c r="I290" s="5" t="s">
        <v>839</v>
      </c>
      <c r="J290" s="5"/>
    </row>
    <row r="291" customFormat="false" ht="14.5" hidden="false" customHeight="false" outlineLevel="0" collapsed="false">
      <c r="A291" s="13" t="n">
        <v>191</v>
      </c>
      <c r="B291" s="1" t="s">
        <v>31</v>
      </c>
      <c r="C291" s="1" t="s">
        <v>1</v>
      </c>
      <c r="D291" s="1" t="str">
        <f aca="false">IF(OR(LEFT(C291, 2)="SE", LEFT(C291, 2)="S4"), "C6", IF(LEFT(C291, 2)="S1", "C1", IF(OR(LEFT(C291, 2)="S2", LEFT(C291, 2)="S5"), "C3&amp;5", IF(LEFT(C291, 2)="S3", "C4", IF(LEFT(C291, 2)="SC", "C7", IF(LEFT(C291, 2)="S6", "C2", "Other"))))))</f>
        <v>C7</v>
      </c>
      <c r="E291" s="1" t="n">
        <v>1</v>
      </c>
      <c r="F291" s="1" t="s">
        <v>840</v>
      </c>
      <c r="G291" s="12" t="s">
        <v>34</v>
      </c>
      <c r="H291" s="1" t="s">
        <v>841</v>
      </c>
      <c r="I291" s="1" t="s">
        <v>842</v>
      </c>
      <c r="J291" s="1"/>
    </row>
    <row r="292" customFormat="false" ht="14.5" hidden="true" customHeight="false" outlineLevel="0" collapsed="false">
      <c r="A292" s="20" t="n">
        <v>192</v>
      </c>
      <c r="B292" s="5" t="s">
        <v>123</v>
      </c>
      <c r="C292" s="5" t="s">
        <v>56</v>
      </c>
      <c r="D292" s="5" t="str">
        <f aca="false">IF(OR(LEFT(C292, 2)="SE", LEFT(C292, 2)="S4"), "C6", IF(LEFT(C292, 2)="S1", "C1", IF(OR(LEFT(C292, 2)="S2", LEFT(C292, 2)="S5"), "C3&amp;5", IF(LEFT(C292, 2)="S3", "C4", IF(LEFT(C292, 2)="SC", "C7", IF(LEFT(C292, 2)="S6", "C2", "Other"))))))</f>
        <v>C4</v>
      </c>
      <c r="E292" s="5" t="n">
        <v>10</v>
      </c>
      <c r="F292" s="26" t="s">
        <v>843</v>
      </c>
      <c r="G292" s="12" t="s">
        <v>34</v>
      </c>
      <c r="H292" s="5" t="s">
        <v>844</v>
      </c>
      <c r="I292" s="5" t="s">
        <v>845</v>
      </c>
      <c r="J292" s="5"/>
    </row>
    <row r="293" customFormat="false" ht="14.5" hidden="true" customHeight="false" outlineLevel="0" collapsed="false">
      <c r="A293" s="13" t="n">
        <v>192</v>
      </c>
      <c r="B293" s="1" t="s">
        <v>31</v>
      </c>
      <c r="C293" s="1" t="s">
        <v>1</v>
      </c>
      <c r="D293" s="1" t="str">
        <f aca="false">IF(OR(LEFT(C293, 2)="SE", LEFT(C293, 2)="S4"), "C6", IF(LEFT(C293, 2)="S1", "C1", IF(OR(LEFT(C293, 2)="S2", LEFT(C293, 2)="S5"), "C3&amp;5", IF(LEFT(C293, 2)="S3", "C4", IF(LEFT(C293, 2)="SC", "C7", IF(LEFT(C293, 2)="S6", "C2", "Other"))))))</f>
        <v>C7</v>
      </c>
      <c r="E293" s="1" t="n">
        <v>1</v>
      </c>
      <c r="F293" s="1" t="s">
        <v>846</v>
      </c>
      <c r="G293" s="12" t="s">
        <v>77</v>
      </c>
      <c r="H293" s="1" t="s">
        <v>847</v>
      </c>
      <c r="I293" s="1" t="s">
        <v>848</v>
      </c>
      <c r="J293" s="1"/>
    </row>
    <row r="294" customFormat="false" ht="14.5" hidden="true" customHeight="false" outlineLevel="0" collapsed="false">
      <c r="A294" s="11" t="n">
        <v>192</v>
      </c>
      <c r="B294" s="5" t="s">
        <v>42</v>
      </c>
      <c r="C294" s="5" t="s">
        <v>1</v>
      </c>
      <c r="D294" s="5" t="str">
        <f aca="false">IF(OR(LEFT(C294, 2)="SE", LEFT(C294, 2)="S4"), "C6", IF(LEFT(C294, 2)="S1", "C1", IF(OR(LEFT(C294, 2)="S2", LEFT(C294, 2)="S5"), "C3&amp;5", IF(LEFT(C294, 2)="S3", "C4", IF(LEFT(C294, 2)="SC", "C7", IF(LEFT(C294, 2)="S6", "C2", "Other"))))))</f>
        <v>C7</v>
      </c>
      <c r="E294" s="5" t="n">
        <v>1</v>
      </c>
      <c r="F294" s="5" t="s">
        <v>849</v>
      </c>
      <c r="G294" s="12" t="s">
        <v>77</v>
      </c>
      <c r="H294" s="5" t="s">
        <v>850</v>
      </c>
      <c r="I294" s="5" t="s">
        <v>851</v>
      </c>
      <c r="J294" s="5"/>
    </row>
    <row r="295" customFormat="false" ht="14.5" hidden="true" customHeight="false" outlineLevel="0" collapsed="false">
      <c r="A295" s="16" t="n">
        <v>192</v>
      </c>
      <c r="B295" s="1" t="s">
        <v>47</v>
      </c>
      <c r="C295" s="1" t="s">
        <v>144</v>
      </c>
      <c r="D295" s="1" t="str">
        <f aca="false">IF(OR(LEFT(C295, 2)="SE", LEFT(C295, 2)="S4"), "C6", IF(LEFT(C295, 2)="S1", "C1", IF(OR(LEFT(C295, 2)="S2", LEFT(C295, 2)="S5"), "C3&amp;5", IF(LEFT(C295, 2)="S3", "C4", IF(LEFT(C295, 2)="SC", "C7", IF(LEFT(C295, 2)="S6", "C2", "Other"))))))</f>
        <v>C3&amp;5</v>
      </c>
      <c r="E295" s="1" t="n">
        <v>6</v>
      </c>
      <c r="F295" s="21" t="s">
        <v>852</v>
      </c>
      <c r="G295" s="12" t="s">
        <v>34</v>
      </c>
      <c r="H295" s="1" t="s">
        <v>853</v>
      </c>
      <c r="I295" s="1" t="s">
        <v>854</v>
      </c>
      <c r="J295" s="1"/>
    </row>
    <row r="296" customFormat="false" ht="14.5" hidden="true" customHeight="false" outlineLevel="0" collapsed="false">
      <c r="A296" s="11" t="n">
        <v>192</v>
      </c>
      <c r="B296" s="5" t="s">
        <v>51</v>
      </c>
      <c r="C296" s="5" t="s">
        <v>48</v>
      </c>
      <c r="D296" s="5" t="str">
        <f aca="false">IF(OR(LEFT(C296, 2)="SE", LEFT(C296, 2)="S4"), "C6", IF(LEFT(C296, 2)="S1", "C1", IF(OR(LEFT(C296, 2)="S2", LEFT(C296, 2)="S5"), "C3&amp;5", IF(LEFT(C296, 2)="S3", "C4", IF(LEFT(C296, 2)="SC", "C7", IF(LEFT(C296, 2)="S6", "C2", "Other"))))))</f>
        <v>C2</v>
      </c>
      <c r="E296" s="5" t="n">
        <v>1</v>
      </c>
      <c r="F296" s="26" t="s">
        <v>846</v>
      </c>
      <c r="G296" s="12" t="s">
        <v>77</v>
      </c>
      <c r="H296" s="5" t="s">
        <v>855</v>
      </c>
      <c r="I296" s="5" t="s">
        <v>856</v>
      </c>
      <c r="J296" s="5"/>
    </row>
    <row r="297" customFormat="false" ht="14.5" hidden="true" customHeight="false" outlineLevel="0" collapsed="false">
      <c r="A297" s="13" t="n">
        <v>192</v>
      </c>
      <c r="B297" s="1" t="s">
        <v>71</v>
      </c>
      <c r="C297" s="1" t="s">
        <v>65</v>
      </c>
      <c r="D297" s="1" t="str">
        <f aca="false">IF(OR(LEFT(C297, 2)="SE", LEFT(C297, 2)="S4"), "C6", IF(LEFT(C297, 2)="S1", "C1", IF(OR(LEFT(C297, 2)="S2", LEFT(C297, 2)="S5"), "C3&amp;5", IF(LEFT(C297, 2)="S3", "C4", IF(LEFT(C297, 2)="SC", "C7", IF(LEFT(C297, 2)="S6", "C2", "Other"))))))</f>
        <v>C6</v>
      </c>
      <c r="E297" s="1" t="n">
        <v>11</v>
      </c>
      <c r="F297" s="1" t="s">
        <v>857</v>
      </c>
      <c r="G297" s="12" t="s">
        <v>34</v>
      </c>
      <c r="H297" s="1" t="s">
        <v>858</v>
      </c>
      <c r="I297" s="1" t="s">
        <v>859</v>
      </c>
      <c r="J297" s="1"/>
    </row>
    <row r="298" customFormat="false" ht="14.5" hidden="true" customHeight="false" outlineLevel="0" collapsed="false">
      <c r="A298" s="11" t="n">
        <v>192</v>
      </c>
      <c r="B298" s="5" t="s">
        <v>211</v>
      </c>
      <c r="C298" s="5" t="s">
        <v>48</v>
      </c>
      <c r="D298" s="5" t="str">
        <f aca="false">IF(OR(LEFT(C298, 2)="SE", LEFT(C298, 2)="S4"), "C6", IF(LEFT(C298, 2)="S1", "C1", IF(OR(LEFT(C298, 2)="S2", LEFT(C298, 2)="S5"), "C3&amp;5", IF(LEFT(C298, 2)="S3", "C4", IF(LEFT(C298, 2)="SC", "C7", IF(LEFT(C298, 2)="S6", "C2", "Other"))))))</f>
        <v>C2</v>
      </c>
      <c r="E298" s="5" t="n">
        <v>4</v>
      </c>
      <c r="F298" s="26" t="s">
        <v>846</v>
      </c>
      <c r="G298" s="12" t="s">
        <v>77</v>
      </c>
      <c r="H298" s="5" t="s">
        <v>860</v>
      </c>
      <c r="I298" s="5" t="s">
        <v>861</v>
      </c>
      <c r="J298" s="5"/>
    </row>
    <row r="299" customFormat="false" ht="14.5" hidden="true" customHeight="false" outlineLevel="0" collapsed="false">
      <c r="A299" s="13" t="n">
        <v>192</v>
      </c>
      <c r="B299" s="1" t="s">
        <v>74</v>
      </c>
      <c r="C299" s="1" t="s">
        <v>1</v>
      </c>
      <c r="D299" s="1" t="str">
        <f aca="false">IF(OR(LEFT(C299, 2)="SE", LEFT(C299, 2)="S4"), "C6", IF(LEFT(C299, 2)="S1", "C1", IF(OR(LEFT(C299, 2)="S2", LEFT(C299, 2)="S5"), "C3&amp;5", IF(LEFT(C299, 2)="S3", "C4", IF(LEFT(C299, 2)="SC", "C7", IF(LEFT(C299, 2)="S6", "C2", "Other"))))))</f>
        <v>C7</v>
      </c>
      <c r="E299" s="1" t="n">
        <v>3</v>
      </c>
      <c r="F299" s="1" t="s">
        <v>846</v>
      </c>
      <c r="G299" s="12" t="s">
        <v>77</v>
      </c>
      <c r="H299" s="1" t="s">
        <v>862</v>
      </c>
      <c r="I299" s="1" t="s">
        <v>863</v>
      </c>
      <c r="J299" s="1"/>
    </row>
    <row r="300" customFormat="false" ht="14.5" hidden="true" customHeight="false" outlineLevel="0" collapsed="false">
      <c r="A300" s="11" t="n">
        <v>192</v>
      </c>
      <c r="B300" s="5" t="s">
        <v>80</v>
      </c>
      <c r="C300" s="5" t="s">
        <v>48</v>
      </c>
      <c r="D300" s="5" t="str">
        <f aca="false">IF(OR(LEFT(C300, 2)="SE", LEFT(C300, 2)="S4"), "C6", IF(LEFT(C300, 2)="S1", "C1", IF(OR(LEFT(C300, 2)="S2", LEFT(C300, 2)="S5"), "C3&amp;5", IF(LEFT(C300, 2)="S3", "C4", IF(LEFT(C300, 2)="SC", "C7", IF(LEFT(C300, 2)="S6", "C2", "Other"))))))</f>
        <v>C2</v>
      </c>
      <c r="E300" s="5" t="n">
        <v>9</v>
      </c>
      <c r="F300" s="26" t="s">
        <v>846</v>
      </c>
      <c r="G300" s="12" t="s">
        <v>77</v>
      </c>
      <c r="H300" s="5" t="s">
        <v>864</v>
      </c>
      <c r="I300" s="5" t="s">
        <v>865</v>
      </c>
      <c r="J300" s="5"/>
    </row>
    <row r="301" customFormat="false" ht="14.5" hidden="true" customHeight="false" outlineLevel="0" collapsed="false">
      <c r="A301" s="31" t="n">
        <v>193</v>
      </c>
      <c r="B301" s="32" t="s">
        <v>31</v>
      </c>
      <c r="C301" s="32" t="s">
        <v>206</v>
      </c>
      <c r="D301" s="32" t="str">
        <f aca="false">IF(OR(LEFT(C301, 2)="SE", LEFT(C301, 2)="S4"), "C6", IF(LEFT(C301, 2)="S1", "C1", IF(OR(LEFT(C301, 2)="S2", LEFT(C301, 2)="S5"), "C3&amp;5", IF(LEFT(C301, 2)="S3", "C4", IF(LEFT(C301, 2)="SC", "C7", IF(LEFT(C301, 2)="S6", "C2", "Other"))))))</f>
        <v>C1</v>
      </c>
      <c r="E301" s="32" t="n">
        <v>28</v>
      </c>
      <c r="F301" s="33" t="s">
        <v>866</v>
      </c>
      <c r="G301" s="12" t="s">
        <v>125</v>
      </c>
      <c r="H301" s="32" t="s">
        <v>867</v>
      </c>
      <c r="I301" s="32" t="s">
        <v>868</v>
      </c>
      <c r="J301" s="32"/>
    </row>
  </sheetData>
  <hyperlinks>
    <hyperlink ref="F200" r:id="rId1" location="L1143" display="StabilityPool.sol"/>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1" sqref="G14:I22 E11"/>
    </sheetView>
  </sheetViews>
  <sheetFormatPr defaultColWidth="8.4296875" defaultRowHeight="14.5" zeroHeight="false" outlineLevelRow="0" outlineLevelCol="0"/>
  <cols>
    <col collapsed="false" customWidth="true" hidden="false" outlineLevel="0" max="2" min="2" style="0" width="10.82"/>
    <col collapsed="false" customWidth="true" hidden="false" outlineLevel="0" max="3" min="3" style="0" width="12.45"/>
    <col collapsed="false" customWidth="true" hidden="false" outlineLevel="0" max="4" min="4" style="0" width="16"/>
    <col collapsed="false" customWidth="true" hidden="false" outlineLevel="0" max="5" min="5" style="0" width="17.82"/>
    <col collapsed="false" customWidth="true" hidden="false" outlineLevel="0" max="6" min="6" style="0" width="10.54"/>
  </cols>
  <sheetData>
    <row r="1" customFormat="false" ht="14.5" hidden="false" customHeight="false" outlineLevel="0" collapsed="false">
      <c r="B1" s="0" t="s">
        <v>869</v>
      </c>
      <c r="C1" s="0" t="s">
        <v>870</v>
      </c>
      <c r="D1" s="0" t="s">
        <v>871</v>
      </c>
      <c r="E1" s="0" t="s">
        <v>872</v>
      </c>
      <c r="F1" s="0" t="s">
        <v>873</v>
      </c>
      <c r="G1" s="0" t="s">
        <v>874</v>
      </c>
      <c r="H1" s="0" t="s">
        <v>875</v>
      </c>
    </row>
    <row r="2" customFormat="false" ht="14.5" hidden="false" customHeight="false" outlineLevel="0" collapsed="false">
      <c r="A2" s="0" t="s">
        <v>876</v>
      </c>
      <c r="B2" s="0" t="n">
        <v>24</v>
      </c>
      <c r="C2" s="0" t="n">
        <v>63</v>
      </c>
      <c r="D2" s="0" t="n">
        <v>34</v>
      </c>
      <c r="E2" s="0" t="n">
        <v>21</v>
      </c>
      <c r="F2" s="0" t="n">
        <v>46</v>
      </c>
      <c r="G2" s="0" t="n">
        <v>58</v>
      </c>
      <c r="H2" s="0" t="n">
        <f aca="false">SUM(B2:G2)</f>
        <v>246</v>
      </c>
    </row>
    <row r="3" customFormat="false" ht="14.5" hidden="false" customHeight="false" outlineLevel="0" collapsed="false">
      <c r="A3" s="0" t="s">
        <v>877</v>
      </c>
      <c r="B3" s="0" t="n">
        <v>63</v>
      </c>
      <c r="C3" s="0" t="n">
        <v>148</v>
      </c>
      <c r="D3" s="0" t="n">
        <v>76</v>
      </c>
      <c r="E3" s="0" t="n">
        <v>46</v>
      </c>
      <c r="F3" s="0" t="n">
        <v>192</v>
      </c>
      <c r="G3" s="0" t="n">
        <v>105</v>
      </c>
      <c r="H3" s="0" t="n">
        <f aca="false">SUM(B3:G3)</f>
        <v>630</v>
      </c>
    </row>
    <row r="4" customFormat="false" ht="14.5" hidden="false" customHeight="false" outlineLevel="0" collapsed="false">
      <c r="A4" s="0" t="s">
        <v>878</v>
      </c>
      <c r="B4" s="0" t="n">
        <v>26</v>
      </c>
      <c r="C4" s="0" t="n">
        <v>67</v>
      </c>
      <c r="D4" s="0" t="n">
        <v>60</v>
      </c>
      <c r="E4" s="0" t="n">
        <v>22</v>
      </c>
      <c r="F4" s="0" t="n">
        <v>116</v>
      </c>
      <c r="G4" s="0" t="n">
        <v>76</v>
      </c>
      <c r="H4" s="0" t="n">
        <f aca="false">SUM(B4:G4)</f>
        <v>367</v>
      </c>
    </row>
    <row r="5" customFormat="false" ht="14.5" hidden="false" customHeight="false" outlineLevel="0" collapsed="false">
      <c r="A5" s="0" t="s">
        <v>879</v>
      </c>
      <c r="B5" s="0" t="n">
        <v>13</v>
      </c>
      <c r="C5" s="0" t="n">
        <v>12</v>
      </c>
      <c r="D5" s="0" t="n">
        <v>16</v>
      </c>
      <c r="E5" s="0" t="n">
        <v>9</v>
      </c>
      <c r="F5" s="0" t="n">
        <v>11</v>
      </c>
      <c r="G5" s="0" t="n">
        <v>7</v>
      </c>
      <c r="H5" s="0" t="n">
        <f aca="false">SUM(B5:G5)</f>
        <v>68</v>
      </c>
    </row>
    <row r="6" customFormat="false" ht="14.5" hidden="false" customHeight="false" outlineLevel="0" collapsed="false">
      <c r="A6" s="0" t="s">
        <v>880</v>
      </c>
      <c r="B6" s="0" t="n">
        <v>8</v>
      </c>
      <c r="C6" s="0" t="n">
        <v>5</v>
      </c>
      <c r="D6" s="0" t="n">
        <v>9</v>
      </c>
      <c r="E6" s="0" t="n">
        <v>7</v>
      </c>
      <c r="F6" s="0" t="n">
        <v>5</v>
      </c>
      <c r="G6" s="0" t="n">
        <v>2</v>
      </c>
      <c r="H6" s="0" t="n">
        <f aca="false">SUM(B6:G6)</f>
        <v>36</v>
      </c>
    </row>
    <row r="7" customFormat="false" ht="14.5" hidden="false" customHeight="false" outlineLevel="0" collapsed="false">
      <c r="A7" s="0" t="s">
        <v>881</v>
      </c>
      <c r="B7" s="0" t="n">
        <f aca="false">B6/B2</f>
        <v>0.333333333333333</v>
      </c>
      <c r="C7" s="0" t="n">
        <f aca="false">C6/C2</f>
        <v>0.0793650793650794</v>
      </c>
      <c r="D7" s="0" t="n">
        <f aca="false">D6/D2</f>
        <v>0.264705882352941</v>
      </c>
      <c r="E7" s="0" t="n">
        <f aca="false">E6/E2</f>
        <v>0.333333333333333</v>
      </c>
      <c r="F7" s="0" t="n">
        <f aca="false">F6/F2</f>
        <v>0.108695652173913</v>
      </c>
      <c r="G7" s="0" t="n">
        <f aca="false">G6/G2</f>
        <v>0.0344827586206897</v>
      </c>
      <c r="H7" s="0" t="n">
        <f aca="false">H6/H2</f>
        <v>0.146341463414634</v>
      </c>
    </row>
    <row r="14" customFormat="false" ht="14.5" hidden="false" customHeight="false" outlineLevel="0" collapsed="false">
      <c r="C14" s="0" t="s">
        <v>882</v>
      </c>
      <c r="D14" s="0" t="s">
        <v>883</v>
      </c>
      <c r="E14" s="0" t="s">
        <v>884</v>
      </c>
      <c r="F14" s="0" t="s">
        <v>885</v>
      </c>
      <c r="G14" s="0" t="s">
        <v>886</v>
      </c>
    </row>
    <row r="15" customFormat="false" ht="14.5" hidden="false" customHeight="false" outlineLevel="0" collapsed="false">
      <c r="A15" s="0" t="s">
        <v>869</v>
      </c>
    </row>
    <row r="16" customFormat="false" ht="14.5" hidden="false" customHeight="false" outlineLevel="0" collapsed="false">
      <c r="B16" s="0" t="s">
        <v>876</v>
      </c>
      <c r="C16" s="0" t="n">
        <v>24</v>
      </c>
      <c r="G16" s="0" t="n">
        <f aca="false">SUM(C16:F16)</f>
        <v>24</v>
      </c>
    </row>
    <row r="17" customFormat="false" ht="14.5" hidden="false" customHeight="false" outlineLevel="0" collapsed="false">
      <c r="B17" s="0" t="s">
        <v>887</v>
      </c>
      <c r="C17" s="0" t="n">
        <v>8</v>
      </c>
      <c r="D17" s="0" t="n">
        <f aca="false">B5-C17</f>
        <v>5</v>
      </c>
      <c r="E17" s="0" t="n">
        <f aca="false">B4-B5</f>
        <v>13</v>
      </c>
      <c r="F17" s="0" t="n">
        <f aca="false">B3-B4</f>
        <v>37</v>
      </c>
      <c r="G17" s="0" t="n">
        <f aca="false">SUM(C17:F17)</f>
        <v>63</v>
      </c>
    </row>
    <row r="19" customFormat="false" ht="14.5" hidden="false" customHeight="false" outlineLevel="0" collapsed="false">
      <c r="A19" s="0" t="s">
        <v>870</v>
      </c>
    </row>
    <row r="20" customFormat="false" ht="14.5" hidden="false" customHeight="false" outlineLevel="0" collapsed="false">
      <c r="B20" s="0" t="s">
        <v>876</v>
      </c>
      <c r="C20" s="0" t="n">
        <v>63</v>
      </c>
      <c r="G20" s="0" t="n">
        <f aca="false">SUM(C20:F20)</f>
        <v>63</v>
      </c>
    </row>
    <row r="21" customFormat="false" ht="14.5" hidden="false" customHeight="false" outlineLevel="0" collapsed="false">
      <c r="B21" s="0" t="s">
        <v>887</v>
      </c>
      <c r="C21" s="0" t="n">
        <v>5</v>
      </c>
      <c r="D21" s="0" t="n">
        <f aca="false">C5-C21</f>
        <v>7</v>
      </c>
      <c r="E21" s="0" t="n">
        <f aca="false">C4-C5</f>
        <v>55</v>
      </c>
      <c r="F21" s="0" t="n">
        <f aca="false">C3-C4</f>
        <v>81</v>
      </c>
      <c r="G21" s="0" t="n">
        <f aca="false">SUM(C21:F21)</f>
        <v>148</v>
      </c>
    </row>
    <row r="23" customFormat="false" ht="14.5" hidden="false" customHeight="false" outlineLevel="0" collapsed="false">
      <c r="A23" s="0" t="s">
        <v>871</v>
      </c>
    </row>
    <row r="24" customFormat="false" ht="14.5" hidden="false" customHeight="false" outlineLevel="0" collapsed="false">
      <c r="B24" s="0" t="s">
        <v>876</v>
      </c>
      <c r="C24" s="0" t="n">
        <v>34</v>
      </c>
      <c r="G24" s="0" t="n">
        <f aca="false">SUM(C24:F24)</f>
        <v>34</v>
      </c>
    </row>
    <row r="25" customFormat="false" ht="14.5" hidden="false" customHeight="false" outlineLevel="0" collapsed="false">
      <c r="B25" s="0" t="s">
        <v>887</v>
      </c>
      <c r="C25" s="0" t="n">
        <v>9</v>
      </c>
      <c r="D25" s="0" t="n">
        <f aca="false">D5-C25</f>
        <v>7</v>
      </c>
      <c r="E25" s="0" t="n">
        <f aca="false">D4-D5</f>
        <v>44</v>
      </c>
      <c r="F25" s="0" t="n">
        <f aca="false">D3-D4</f>
        <v>16</v>
      </c>
      <c r="G25" s="0" t="n">
        <f aca="false">SUM(C25:F25)</f>
        <v>76</v>
      </c>
    </row>
    <row r="27" customFormat="false" ht="14.5" hidden="false" customHeight="false" outlineLevel="0" collapsed="false">
      <c r="A27" s="0" t="s">
        <v>872</v>
      </c>
    </row>
    <row r="28" customFormat="false" ht="14.5" hidden="false" customHeight="false" outlineLevel="0" collapsed="false">
      <c r="B28" s="0" t="s">
        <v>876</v>
      </c>
      <c r="C28" s="0" t="n">
        <v>21</v>
      </c>
      <c r="G28" s="0" t="n">
        <f aca="false">SUM(C28:F28)</f>
        <v>21</v>
      </c>
    </row>
    <row r="29" customFormat="false" ht="14.5" hidden="false" customHeight="false" outlineLevel="0" collapsed="false">
      <c r="B29" s="0" t="s">
        <v>887</v>
      </c>
      <c r="C29" s="0" t="n">
        <v>7</v>
      </c>
      <c r="D29" s="0" t="n">
        <f aca="false">E5-C29</f>
        <v>2</v>
      </c>
      <c r="E29" s="0" t="n">
        <f aca="false">E4-E5</f>
        <v>13</v>
      </c>
      <c r="F29" s="0" t="n">
        <f aca="false">E3-E4</f>
        <v>24</v>
      </c>
      <c r="G29" s="0" t="n">
        <f aca="false">SUM(C29:F29)</f>
        <v>46</v>
      </c>
    </row>
    <row r="31" customFormat="false" ht="14.5" hidden="false" customHeight="false" outlineLevel="0" collapsed="false">
      <c r="A31" s="0" t="s">
        <v>873</v>
      </c>
    </row>
    <row r="32" customFormat="false" ht="14.5" hidden="false" customHeight="false" outlineLevel="0" collapsed="false">
      <c r="B32" s="0" t="s">
        <v>876</v>
      </c>
      <c r="C32" s="0" t="n">
        <v>46</v>
      </c>
      <c r="G32" s="0" t="n">
        <f aca="false">SUM(C32:F32)</f>
        <v>46</v>
      </c>
    </row>
    <row r="33" customFormat="false" ht="14.5" hidden="false" customHeight="false" outlineLevel="0" collapsed="false">
      <c r="B33" s="0" t="s">
        <v>887</v>
      </c>
      <c r="C33" s="0" t="n">
        <v>5</v>
      </c>
      <c r="D33" s="0" t="n">
        <f aca="false">F5-C33</f>
        <v>6</v>
      </c>
      <c r="E33" s="0" t="n">
        <f aca="false">F4-F5</f>
        <v>105</v>
      </c>
      <c r="F33" s="0" t="n">
        <f aca="false">F3-F4</f>
        <v>76</v>
      </c>
      <c r="G33" s="0" t="n">
        <f aca="false">SUM(C33:F33)</f>
        <v>192</v>
      </c>
    </row>
    <row r="35" customFormat="false" ht="14.5" hidden="false" customHeight="false" outlineLevel="0" collapsed="false">
      <c r="A35" s="0" t="s">
        <v>874</v>
      </c>
    </row>
    <row r="36" customFormat="false" ht="14.5" hidden="false" customHeight="false" outlineLevel="0" collapsed="false">
      <c r="B36" s="0" t="s">
        <v>876</v>
      </c>
      <c r="C36" s="0" t="n">
        <v>58</v>
      </c>
      <c r="G36" s="0" t="n">
        <f aca="false">SUM(C36:F36)</f>
        <v>58</v>
      </c>
    </row>
    <row r="37" customFormat="false" ht="14.5" hidden="false" customHeight="false" outlineLevel="0" collapsed="false">
      <c r="B37" s="0" t="s">
        <v>887</v>
      </c>
      <c r="C37" s="0" t="n">
        <v>2</v>
      </c>
      <c r="D37" s="0" t="n">
        <f aca="false">G5-C37</f>
        <v>5</v>
      </c>
      <c r="E37" s="0" t="n">
        <f aca="false">G4-G5</f>
        <v>69</v>
      </c>
      <c r="F37" s="0" t="n">
        <f aca="false">G3-G4</f>
        <v>29</v>
      </c>
      <c r="G37" s="0" t="n">
        <f aca="false">SUM(C37:F37)</f>
        <v>105</v>
      </c>
    </row>
    <row r="39" customFormat="false" ht="14.5" hidden="false" customHeight="false" outlineLevel="0" collapsed="false">
      <c r="A39" s="0" t="s">
        <v>888</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1" sqref="G14:I22 E1"/>
    </sheetView>
  </sheetViews>
  <sheetFormatPr defaultColWidth="8.4296875" defaultRowHeight="14.5" zeroHeight="false" outlineLevelRow="0" outlineLevelCol="0"/>
  <cols>
    <col collapsed="false" customWidth="true" hidden="false" outlineLevel="0" max="1" min="1" style="0" width="9.72"/>
    <col collapsed="false" customWidth="true" hidden="false" outlineLevel="0" max="2" min="2" style="0" width="8.27"/>
    <col collapsed="false" customWidth="true" hidden="false" outlineLevel="0" max="3" min="3" style="0" width="6.54"/>
    <col collapsed="false" customWidth="true" hidden="false" outlineLevel="0" max="4" min="4" style="0" width="7.54"/>
    <col collapsed="false" customWidth="true" hidden="false" outlineLevel="0" max="5" min="5" style="0" width="23.72"/>
    <col collapsed="false" customWidth="true" hidden="false" outlineLevel="0" max="6" min="6" style="0" width="50.82"/>
  </cols>
  <sheetData>
    <row r="1" customFormat="false" ht="14.5" hidden="false" customHeight="false" outlineLevel="0" collapsed="false">
      <c r="A1" s="14" t="s">
        <v>889</v>
      </c>
      <c r="B1" s="14" t="s">
        <v>890</v>
      </c>
      <c r="C1" s="14" t="s">
        <v>891</v>
      </c>
      <c r="D1" s="14" t="s">
        <v>892</v>
      </c>
      <c r="E1" s="14" t="s">
        <v>893</v>
      </c>
      <c r="F1" s="14" t="s">
        <v>894</v>
      </c>
    </row>
    <row r="2" customFormat="false" ht="14.5" hidden="false" customHeight="false" outlineLevel="0" collapsed="false">
      <c r="A2" s="14" t="s">
        <v>895</v>
      </c>
      <c r="B2" s="14" t="n">
        <v>3</v>
      </c>
      <c r="C2" s="14" t="n">
        <v>1</v>
      </c>
      <c r="D2" s="14" t="n">
        <v>1</v>
      </c>
      <c r="E2" s="14" t="s">
        <v>896</v>
      </c>
      <c r="F2" s="14" t="s">
        <v>897</v>
      </c>
    </row>
    <row r="3" customFormat="false" ht="14.5" hidden="false" customHeight="false" outlineLevel="0" collapsed="false">
      <c r="A3" s="14" t="s">
        <v>895</v>
      </c>
      <c r="B3" s="14" t="n">
        <v>3</v>
      </c>
      <c r="C3" s="14" t="n">
        <v>1</v>
      </c>
      <c r="D3" s="14" t="n">
        <v>2</v>
      </c>
      <c r="E3" s="14" t="s">
        <v>898</v>
      </c>
      <c r="F3" s="14" t="s">
        <v>899</v>
      </c>
    </row>
    <row r="4" customFormat="false" ht="14.5" hidden="false" customHeight="false" outlineLevel="0" collapsed="false">
      <c r="A4" s="14" t="s">
        <v>900</v>
      </c>
      <c r="B4" s="14" t="n">
        <v>3</v>
      </c>
      <c r="C4" s="14" t="n">
        <v>2</v>
      </c>
      <c r="D4" s="14" t="n">
        <v>1</v>
      </c>
      <c r="E4" s="14" t="s">
        <v>896</v>
      </c>
      <c r="F4" s="14" t="s">
        <v>901</v>
      </c>
    </row>
    <row r="5" customFormat="false" ht="14.5" hidden="false" customHeight="false" outlineLevel="0" collapsed="false">
      <c r="A5" s="14" t="s">
        <v>900</v>
      </c>
      <c r="B5" s="14" t="n">
        <v>3</v>
      </c>
      <c r="C5" s="14" t="n">
        <v>2</v>
      </c>
      <c r="D5" s="14" t="n">
        <v>2</v>
      </c>
      <c r="E5" s="14" t="s">
        <v>898</v>
      </c>
      <c r="F5" s="14" t="s">
        <v>902</v>
      </c>
    </row>
    <row r="6" customFormat="false" ht="14.5" hidden="false" customHeight="false" outlineLevel="0" collapsed="false">
      <c r="A6" s="14" t="s">
        <v>900</v>
      </c>
      <c r="B6" s="14" t="n">
        <v>3</v>
      </c>
      <c r="C6" s="14" t="n">
        <v>2</v>
      </c>
      <c r="D6" s="14" t="n">
        <v>3</v>
      </c>
      <c r="E6" s="14" t="s">
        <v>903</v>
      </c>
      <c r="F6" s="14" t="s">
        <v>904</v>
      </c>
    </row>
    <row r="7" customFormat="false" ht="14.5" hidden="false" customHeight="false" outlineLevel="0" collapsed="false">
      <c r="A7" s="14" t="s">
        <v>905</v>
      </c>
      <c r="B7" s="14" t="n">
        <v>3</v>
      </c>
      <c r="C7" s="14" t="n">
        <v>3</v>
      </c>
      <c r="D7" s="14" t="n">
        <v>1</v>
      </c>
      <c r="E7" s="14" t="s">
        <v>896</v>
      </c>
      <c r="F7" s="14" t="s">
        <v>906</v>
      </c>
    </row>
    <row r="8" customFormat="false" ht="14.5" hidden="false" customHeight="false" outlineLevel="0" collapsed="false">
      <c r="A8" s="14" t="s">
        <v>905</v>
      </c>
      <c r="B8" s="14" t="n">
        <v>3</v>
      </c>
      <c r="C8" s="14" t="n">
        <v>3</v>
      </c>
      <c r="D8" s="14" t="n">
        <v>2</v>
      </c>
      <c r="E8" s="14" t="s">
        <v>907</v>
      </c>
      <c r="F8" s="14" t="s">
        <v>908</v>
      </c>
    </row>
    <row r="9" customFormat="false" ht="14.5" hidden="false" customHeight="false" outlineLevel="0" collapsed="false">
      <c r="A9" s="14" t="s">
        <v>909</v>
      </c>
      <c r="B9" s="14" t="n">
        <v>16</v>
      </c>
      <c r="C9" s="14" t="n">
        <v>1</v>
      </c>
      <c r="D9" s="14" t="n">
        <v>1</v>
      </c>
      <c r="E9" s="14" t="s">
        <v>910</v>
      </c>
      <c r="F9" s="14" t="s">
        <v>911</v>
      </c>
    </row>
    <row r="10" customFormat="false" ht="14.5" hidden="false" customHeight="false" outlineLevel="0" collapsed="false">
      <c r="A10" s="14" t="s">
        <v>909</v>
      </c>
      <c r="B10" s="14" t="n">
        <v>16</v>
      </c>
      <c r="C10" s="14" t="n">
        <v>1</v>
      </c>
      <c r="D10" s="14" t="n">
        <v>2</v>
      </c>
      <c r="E10" s="14" t="s">
        <v>912</v>
      </c>
      <c r="F10" s="14" t="s">
        <v>913</v>
      </c>
    </row>
    <row r="11" customFormat="false" ht="14.5" hidden="false" customHeight="false" outlineLevel="0" collapsed="false">
      <c r="A11" s="14" t="s">
        <v>914</v>
      </c>
      <c r="B11" s="14" t="n">
        <v>16</v>
      </c>
      <c r="C11" s="14" t="n">
        <v>2</v>
      </c>
      <c r="D11" s="14" t="n">
        <v>1</v>
      </c>
      <c r="E11" s="14" t="s">
        <v>910</v>
      </c>
      <c r="F11" s="14" t="s">
        <v>915</v>
      </c>
    </row>
    <row r="12" customFormat="false" ht="14.5" hidden="false" customHeight="false" outlineLevel="0" collapsed="false">
      <c r="A12" s="14" t="s">
        <v>914</v>
      </c>
      <c r="B12" s="14" t="n">
        <v>16</v>
      </c>
      <c r="C12" s="14" t="n">
        <v>2</v>
      </c>
      <c r="D12" s="14" t="n">
        <v>2</v>
      </c>
      <c r="E12" s="14" t="s">
        <v>916</v>
      </c>
      <c r="F12" s="14" t="s">
        <v>917</v>
      </c>
    </row>
    <row r="13" customFormat="false" ht="14.5" hidden="false" customHeight="false" outlineLevel="0" collapsed="false">
      <c r="A13" s="14" t="s">
        <v>914</v>
      </c>
      <c r="B13" s="14" t="n">
        <v>16</v>
      </c>
      <c r="C13" s="14" t="n">
        <v>2</v>
      </c>
      <c r="D13" s="14" t="n">
        <v>3</v>
      </c>
      <c r="E13" s="14" t="s">
        <v>912</v>
      </c>
      <c r="F13" s="14" t="s">
        <v>918</v>
      </c>
    </row>
    <row r="14" customFormat="false" ht="14.5" hidden="false" customHeight="false" outlineLevel="0" collapsed="false">
      <c r="A14" s="14" t="s">
        <v>914</v>
      </c>
      <c r="B14" s="14" t="n">
        <v>16</v>
      </c>
      <c r="C14" s="14" t="n">
        <v>2</v>
      </c>
      <c r="D14" s="14" t="n">
        <v>4</v>
      </c>
      <c r="E14" s="14" t="s">
        <v>919</v>
      </c>
      <c r="F14" s="14" t="s">
        <v>920</v>
      </c>
    </row>
    <row r="15" customFormat="false" ht="14.5" hidden="false" customHeight="false" outlineLevel="0" collapsed="false">
      <c r="A15" s="14" t="s">
        <v>914</v>
      </c>
      <c r="B15" s="14" t="n">
        <v>16</v>
      </c>
      <c r="C15" s="14" t="n">
        <v>2</v>
      </c>
      <c r="D15" s="14" t="n">
        <v>5</v>
      </c>
      <c r="E15" s="14" t="s">
        <v>921</v>
      </c>
      <c r="F15" s="14" t="s">
        <v>922</v>
      </c>
    </row>
    <row r="16" customFormat="false" ht="14.5" hidden="false" customHeight="false" outlineLevel="0" collapsed="false">
      <c r="A16" s="14" t="s">
        <v>914</v>
      </c>
      <c r="B16" s="14" t="n">
        <v>16</v>
      </c>
      <c r="C16" s="14" t="n">
        <v>2</v>
      </c>
      <c r="D16" s="14" t="n">
        <v>6</v>
      </c>
      <c r="E16" s="14" t="s">
        <v>923</v>
      </c>
      <c r="F16" s="14" t="s">
        <v>924</v>
      </c>
    </row>
    <row r="17" customFormat="false" ht="14.5" hidden="false" customHeight="false" outlineLevel="0" collapsed="false">
      <c r="A17" s="14" t="s">
        <v>925</v>
      </c>
      <c r="B17" s="14" t="n">
        <v>16</v>
      </c>
      <c r="C17" s="14" t="n">
        <v>3</v>
      </c>
      <c r="D17" s="14" t="n">
        <v>1</v>
      </c>
      <c r="E17" s="14" t="s">
        <v>910</v>
      </c>
      <c r="F17" s="14" t="s">
        <v>926</v>
      </c>
    </row>
    <row r="18" customFormat="false" ht="14.5" hidden="false" customHeight="false" outlineLevel="0" collapsed="false">
      <c r="A18" s="14" t="s">
        <v>927</v>
      </c>
      <c r="B18" s="14" t="n">
        <v>20</v>
      </c>
      <c r="C18" s="14" t="n">
        <v>1</v>
      </c>
      <c r="D18" s="14" t="n">
        <v>1</v>
      </c>
      <c r="E18" s="14" t="s">
        <v>928</v>
      </c>
      <c r="F18" s="14" t="s">
        <v>929</v>
      </c>
    </row>
    <row r="19" customFormat="false" ht="14.5" hidden="false" customHeight="false" outlineLevel="0" collapsed="false">
      <c r="A19" s="14" t="s">
        <v>927</v>
      </c>
      <c r="B19" s="14" t="n">
        <v>20</v>
      </c>
      <c r="C19" s="14" t="n">
        <v>1</v>
      </c>
      <c r="D19" s="14" t="n">
        <v>2</v>
      </c>
      <c r="E19" s="14" t="s">
        <v>930</v>
      </c>
      <c r="F19" s="14" t="s">
        <v>931</v>
      </c>
    </row>
    <row r="20" customFormat="false" ht="14.5" hidden="false" customHeight="false" outlineLevel="0" collapsed="false">
      <c r="A20" s="14" t="s">
        <v>927</v>
      </c>
      <c r="B20" s="14" t="n">
        <v>20</v>
      </c>
      <c r="C20" s="14" t="n">
        <v>1</v>
      </c>
      <c r="D20" s="14" t="n">
        <v>3</v>
      </c>
      <c r="E20" s="14" t="s">
        <v>932</v>
      </c>
      <c r="F20" s="14" t="s">
        <v>933</v>
      </c>
    </row>
    <row r="21" customFormat="false" ht="14.5" hidden="false" customHeight="false" outlineLevel="0" collapsed="false">
      <c r="A21" s="14" t="s">
        <v>927</v>
      </c>
      <c r="B21" s="14" t="n">
        <v>20</v>
      </c>
      <c r="C21" s="14" t="n">
        <v>1</v>
      </c>
      <c r="D21" s="14" t="n">
        <v>1</v>
      </c>
      <c r="E21" s="14" t="s">
        <v>934</v>
      </c>
      <c r="F21" s="14" t="s">
        <v>935</v>
      </c>
    </row>
    <row r="22" customFormat="false" ht="14.5" hidden="false" customHeight="false" outlineLevel="0" collapsed="false">
      <c r="A22" s="14" t="s">
        <v>927</v>
      </c>
      <c r="B22" s="14" t="n">
        <v>20</v>
      </c>
      <c r="C22" s="14" t="n">
        <v>1</v>
      </c>
      <c r="D22" s="14" t="n">
        <v>1</v>
      </c>
      <c r="E22" s="14" t="s">
        <v>936</v>
      </c>
      <c r="F22" s="14" t="s">
        <v>937</v>
      </c>
    </row>
    <row r="23" customFormat="false" ht="14.5" hidden="false" customHeight="false" outlineLevel="0" collapsed="false">
      <c r="A23" s="14" t="s">
        <v>927</v>
      </c>
      <c r="B23" s="14" t="n">
        <v>20</v>
      </c>
      <c r="C23" s="14" t="n">
        <v>1</v>
      </c>
      <c r="D23" s="14" t="n">
        <v>2</v>
      </c>
      <c r="E23" s="14" t="s">
        <v>938</v>
      </c>
      <c r="F23" s="14" t="s">
        <v>939</v>
      </c>
    </row>
    <row r="24" customFormat="false" ht="14.5" hidden="false" customHeight="false" outlineLevel="0" collapsed="false">
      <c r="A24" s="14" t="s">
        <v>927</v>
      </c>
      <c r="B24" s="14" t="n">
        <v>20</v>
      </c>
      <c r="C24" s="14" t="n">
        <v>1</v>
      </c>
      <c r="D24" s="14" t="n">
        <v>3</v>
      </c>
      <c r="E24" s="14" t="s">
        <v>940</v>
      </c>
      <c r="F24" s="14" t="s">
        <v>941</v>
      </c>
    </row>
    <row r="25" customFormat="false" ht="14.5" hidden="false" customHeight="false" outlineLevel="0" collapsed="false">
      <c r="A25" s="14" t="s">
        <v>927</v>
      </c>
      <c r="B25" s="14" t="n">
        <v>20</v>
      </c>
      <c r="C25" s="14" t="n">
        <v>1</v>
      </c>
      <c r="D25" s="14" t="n">
        <v>1</v>
      </c>
      <c r="E25" s="14" t="s">
        <v>942</v>
      </c>
      <c r="F25" s="14" t="s">
        <v>943</v>
      </c>
    </row>
    <row r="26" customFormat="false" ht="14.5" hidden="false" customHeight="false" outlineLevel="0" collapsed="false">
      <c r="A26" s="14" t="s">
        <v>927</v>
      </c>
      <c r="B26" s="14" t="n">
        <v>20</v>
      </c>
      <c r="C26" s="14" t="n">
        <v>1</v>
      </c>
      <c r="D26" s="14" t="n">
        <v>2</v>
      </c>
      <c r="E26" s="14" t="s">
        <v>944</v>
      </c>
      <c r="F26" s="14" t="s">
        <v>945</v>
      </c>
    </row>
    <row r="27" customFormat="false" ht="14.5" hidden="false" customHeight="false" outlineLevel="0" collapsed="false">
      <c r="A27" s="14" t="s">
        <v>927</v>
      </c>
      <c r="B27" s="14" t="n">
        <v>20</v>
      </c>
      <c r="C27" s="14" t="n">
        <v>1</v>
      </c>
      <c r="D27" s="14" t="n">
        <v>3</v>
      </c>
      <c r="E27" s="14" t="s">
        <v>946</v>
      </c>
      <c r="F27" s="14" t="s">
        <v>947</v>
      </c>
    </row>
    <row r="28" customFormat="false" ht="14.5" hidden="false" customHeight="false" outlineLevel="0" collapsed="false">
      <c r="A28" s="14" t="s">
        <v>927</v>
      </c>
      <c r="B28" s="14" t="n">
        <v>20</v>
      </c>
      <c r="C28" s="14" t="n">
        <v>1</v>
      </c>
      <c r="D28" s="14" t="n">
        <v>4</v>
      </c>
      <c r="E28" s="14" t="s">
        <v>948</v>
      </c>
      <c r="F28" s="14" t="s">
        <v>949</v>
      </c>
    </row>
    <row r="29" customFormat="false" ht="14.5" hidden="false" customHeight="false" outlineLevel="0" collapsed="false">
      <c r="A29" s="14" t="s">
        <v>950</v>
      </c>
      <c r="B29" s="14" t="n">
        <v>20</v>
      </c>
      <c r="C29" s="14" t="n">
        <v>2</v>
      </c>
      <c r="D29" s="14" t="n">
        <v>1</v>
      </c>
      <c r="E29" s="14" t="s">
        <v>932</v>
      </c>
      <c r="F29" s="14" t="s">
        <v>951</v>
      </c>
    </row>
    <row r="30" customFormat="false" ht="14.5" hidden="false" customHeight="false" outlineLevel="0" collapsed="false">
      <c r="A30" s="14" t="s">
        <v>950</v>
      </c>
      <c r="B30" s="14" t="n">
        <v>20</v>
      </c>
      <c r="C30" s="14" t="n">
        <v>2</v>
      </c>
      <c r="D30" s="14" t="n">
        <v>2</v>
      </c>
      <c r="E30" s="14" t="s">
        <v>928</v>
      </c>
      <c r="F30" s="14" t="s">
        <v>952</v>
      </c>
    </row>
    <row r="31" customFormat="false" ht="14.5" hidden="false" customHeight="false" outlineLevel="0" collapsed="false">
      <c r="A31" s="14" t="s">
        <v>950</v>
      </c>
      <c r="B31" s="14" t="n">
        <v>20</v>
      </c>
      <c r="C31" s="14" t="n">
        <v>2</v>
      </c>
      <c r="D31" s="14" t="n">
        <v>1</v>
      </c>
      <c r="E31" s="14" t="s">
        <v>934</v>
      </c>
      <c r="F31" s="14" t="s">
        <v>953</v>
      </c>
    </row>
    <row r="32" customFormat="false" ht="14.5" hidden="false" customHeight="false" outlineLevel="0" collapsed="false">
      <c r="A32" s="14" t="s">
        <v>950</v>
      </c>
      <c r="B32" s="14" t="n">
        <v>20</v>
      </c>
      <c r="C32" s="14" t="n">
        <v>2</v>
      </c>
      <c r="D32" s="14" t="n">
        <v>1</v>
      </c>
      <c r="E32" s="14" t="s">
        <v>936</v>
      </c>
      <c r="F32" s="14" t="s">
        <v>954</v>
      </c>
    </row>
    <row r="33" customFormat="false" ht="14.5" hidden="false" customHeight="false" outlineLevel="0" collapsed="false">
      <c r="A33" s="14" t="s">
        <v>950</v>
      </c>
      <c r="B33" s="14" t="n">
        <v>20</v>
      </c>
      <c r="C33" s="14" t="n">
        <v>2</v>
      </c>
      <c r="D33" s="14" t="n">
        <v>2</v>
      </c>
      <c r="E33" s="14" t="s">
        <v>955</v>
      </c>
      <c r="F33" s="14" t="s">
        <v>956</v>
      </c>
    </row>
    <row r="34" customFormat="false" ht="14.5" hidden="false" customHeight="false" outlineLevel="0" collapsed="false">
      <c r="A34" s="14" t="s">
        <v>950</v>
      </c>
      <c r="B34" s="14" t="n">
        <v>20</v>
      </c>
      <c r="C34" s="14" t="n">
        <v>2</v>
      </c>
      <c r="D34" s="14" t="n">
        <v>3</v>
      </c>
      <c r="E34" s="14" t="s">
        <v>957</v>
      </c>
      <c r="F34" s="14" t="s">
        <v>958</v>
      </c>
    </row>
    <row r="35" customFormat="false" ht="14.5" hidden="false" customHeight="false" outlineLevel="0" collapsed="false">
      <c r="A35" s="14" t="s">
        <v>950</v>
      </c>
      <c r="B35" s="14" t="n">
        <v>20</v>
      </c>
      <c r="C35" s="14" t="n">
        <v>2</v>
      </c>
      <c r="D35" s="14" t="n">
        <v>4</v>
      </c>
      <c r="E35" s="14" t="s">
        <v>938</v>
      </c>
      <c r="F35" s="14" t="s">
        <v>959</v>
      </c>
    </row>
    <row r="36" customFormat="false" ht="14.5" hidden="false" customHeight="false" outlineLevel="0" collapsed="false">
      <c r="A36" s="14" t="s">
        <v>950</v>
      </c>
      <c r="B36" s="14" t="n">
        <v>20</v>
      </c>
      <c r="C36" s="14" t="n">
        <v>2</v>
      </c>
      <c r="D36" s="14" t="n">
        <v>5</v>
      </c>
      <c r="E36" s="14" t="s">
        <v>940</v>
      </c>
      <c r="F36" s="14" t="s">
        <v>960</v>
      </c>
    </row>
    <row r="37" customFormat="false" ht="14.5" hidden="false" customHeight="false" outlineLevel="0" collapsed="false">
      <c r="A37" s="14" t="s">
        <v>950</v>
      </c>
      <c r="B37" s="14" t="n">
        <v>20</v>
      </c>
      <c r="C37" s="14" t="n">
        <v>2</v>
      </c>
      <c r="D37" s="14" t="n">
        <v>1</v>
      </c>
      <c r="E37" s="14" t="s">
        <v>942</v>
      </c>
      <c r="F37" s="14" t="s">
        <v>961</v>
      </c>
    </row>
    <row r="38" customFormat="false" ht="14.5" hidden="false" customHeight="false" outlineLevel="0" collapsed="false">
      <c r="A38" s="14" t="s">
        <v>950</v>
      </c>
      <c r="B38" s="14" t="n">
        <v>20</v>
      </c>
      <c r="C38" s="14" t="n">
        <v>2</v>
      </c>
      <c r="D38" s="14" t="n">
        <v>2</v>
      </c>
      <c r="E38" s="14" t="s">
        <v>944</v>
      </c>
      <c r="F38" s="14" t="s">
        <v>962</v>
      </c>
    </row>
    <row r="39" customFormat="false" ht="14.5" hidden="false" customHeight="false" outlineLevel="0" collapsed="false">
      <c r="A39" s="14" t="s">
        <v>950</v>
      </c>
      <c r="B39" s="14" t="n">
        <v>20</v>
      </c>
      <c r="C39" s="14" t="n">
        <v>2</v>
      </c>
      <c r="D39" s="14" t="n">
        <v>3</v>
      </c>
      <c r="E39" s="14" t="s">
        <v>946</v>
      </c>
      <c r="F39" s="14" t="s">
        <v>963</v>
      </c>
    </row>
    <row r="40" customFormat="false" ht="14.5" hidden="false" customHeight="false" outlineLevel="0" collapsed="false">
      <c r="A40" s="14" t="s">
        <v>950</v>
      </c>
      <c r="B40" s="14" t="n">
        <v>20</v>
      </c>
      <c r="C40" s="14" t="n">
        <v>2</v>
      </c>
      <c r="D40" s="14" t="n">
        <v>4</v>
      </c>
      <c r="E40" s="14" t="s">
        <v>948</v>
      </c>
      <c r="F40" s="14" t="s">
        <v>964</v>
      </c>
    </row>
    <row r="41" customFormat="false" ht="14.5" hidden="false" customHeight="false" outlineLevel="0" collapsed="false">
      <c r="A41" s="14" t="s">
        <v>965</v>
      </c>
      <c r="B41" s="14" t="n">
        <v>20</v>
      </c>
      <c r="C41" s="14" t="n">
        <v>3</v>
      </c>
      <c r="D41" s="14" t="n">
        <v>1</v>
      </c>
      <c r="E41" s="14" t="s">
        <v>928</v>
      </c>
      <c r="F41" s="14" t="s">
        <v>966</v>
      </c>
    </row>
    <row r="42" customFormat="false" ht="14.5" hidden="false" customHeight="false" outlineLevel="0" collapsed="false">
      <c r="A42" s="14" t="s">
        <v>965</v>
      </c>
      <c r="B42" s="14" t="n">
        <v>20</v>
      </c>
      <c r="C42" s="14" t="n">
        <v>3</v>
      </c>
      <c r="D42" s="14" t="n">
        <v>2</v>
      </c>
      <c r="E42" s="14" t="s">
        <v>930</v>
      </c>
      <c r="F42" s="14" t="s">
        <v>967</v>
      </c>
    </row>
    <row r="43" customFormat="false" ht="14.5" hidden="false" customHeight="false" outlineLevel="0" collapsed="false">
      <c r="A43" s="14" t="s">
        <v>965</v>
      </c>
      <c r="B43" s="14" t="n">
        <v>20</v>
      </c>
      <c r="C43" s="14" t="n">
        <v>3</v>
      </c>
      <c r="D43" s="14" t="n">
        <v>3</v>
      </c>
      <c r="E43" s="14" t="s">
        <v>932</v>
      </c>
      <c r="F43" s="14" t="s">
        <v>968</v>
      </c>
    </row>
    <row r="44" customFormat="false" ht="14.5" hidden="false" customHeight="false" outlineLevel="0" collapsed="false">
      <c r="A44" s="14" t="s">
        <v>965</v>
      </c>
      <c r="B44" s="14" t="n">
        <v>20</v>
      </c>
      <c r="C44" s="14" t="n">
        <v>3</v>
      </c>
      <c r="D44" s="14" t="n">
        <v>1</v>
      </c>
      <c r="E44" s="14" t="s">
        <v>934</v>
      </c>
      <c r="F44" s="14" t="s">
        <v>969</v>
      </c>
    </row>
    <row r="45" customFormat="false" ht="14.5" hidden="false" customHeight="false" outlineLevel="0" collapsed="false">
      <c r="A45" s="14" t="s">
        <v>965</v>
      </c>
      <c r="B45" s="14" t="n">
        <v>20</v>
      </c>
      <c r="C45" s="14" t="n">
        <v>3</v>
      </c>
      <c r="D45" s="14" t="n">
        <v>1</v>
      </c>
      <c r="E45" s="14" t="s">
        <v>970</v>
      </c>
      <c r="F45" s="14" t="s">
        <v>971</v>
      </c>
    </row>
    <row r="46" customFormat="false" ht="14.5" hidden="false" customHeight="false" outlineLevel="0" collapsed="false">
      <c r="A46" s="14" t="s">
        <v>965</v>
      </c>
      <c r="B46" s="14" t="n">
        <v>20</v>
      </c>
      <c r="C46" s="14" t="n">
        <v>3</v>
      </c>
      <c r="D46" s="14" t="n">
        <v>1</v>
      </c>
      <c r="E46" s="14" t="s">
        <v>972</v>
      </c>
      <c r="F46" s="14" t="s">
        <v>973</v>
      </c>
    </row>
    <row r="47" customFormat="false" ht="14.5" hidden="false" customHeight="false" outlineLevel="0" collapsed="false">
      <c r="A47" s="14" t="s">
        <v>965</v>
      </c>
      <c r="B47" s="14" t="n">
        <v>20</v>
      </c>
      <c r="C47" s="14" t="n">
        <v>3</v>
      </c>
      <c r="D47" s="14" t="n">
        <v>2</v>
      </c>
      <c r="E47" s="14" t="s">
        <v>974</v>
      </c>
      <c r="F47" s="14" t="s">
        <v>975</v>
      </c>
    </row>
    <row r="48" customFormat="false" ht="14.5" hidden="false" customHeight="false" outlineLevel="0" collapsed="false">
      <c r="A48" s="14" t="s">
        <v>965</v>
      </c>
      <c r="B48" s="14" t="n">
        <v>20</v>
      </c>
      <c r="C48" s="14" t="n">
        <v>3</v>
      </c>
      <c r="D48" s="14" t="n">
        <v>3</v>
      </c>
      <c r="E48" s="14" t="s">
        <v>942</v>
      </c>
      <c r="F48" s="14" t="s">
        <v>976</v>
      </c>
    </row>
    <row r="49" customFormat="false" ht="14.5" hidden="false" customHeight="false" outlineLevel="0" collapsed="false">
      <c r="A49" s="14" t="s">
        <v>965</v>
      </c>
      <c r="B49" s="14" t="n">
        <v>20</v>
      </c>
      <c r="C49" s="14" t="n">
        <v>3</v>
      </c>
      <c r="D49" s="14" t="n">
        <v>4</v>
      </c>
      <c r="E49" s="14" t="s">
        <v>944</v>
      </c>
      <c r="F49" s="14" t="s">
        <v>977</v>
      </c>
    </row>
    <row r="50" customFormat="false" ht="14.5" hidden="false" customHeight="false" outlineLevel="0" collapsed="false">
      <c r="A50" s="14" t="s">
        <v>978</v>
      </c>
      <c r="B50" s="14" t="n">
        <v>23</v>
      </c>
      <c r="C50" s="14" t="n">
        <v>1</v>
      </c>
      <c r="D50" s="14" t="n">
        <v>1</v>
      </c>
      <c r="E50" s="14" t="s">
        <v>979</v>
      </c>
      <c r="F50" s="14" t="s">
        <v>980</v>
      </c>
    </row>
    <row r="51" customFormat="false" ht="14.5" hidden="false" customHeight="false" outlineLevel="0" collapsed="false">
      <c r="A51" s="14" t="s">
        <v>978</v>
      </c>
      <c r="B51" s="14" t="n">
        <v>23</v>
      </c>
      <c r="C51" s="14" t="n">
        <v>1</v>
      </c>
      <c r="D51" s="14" t="n">
        <v>2</v>
      </c>
      <c r="E51" s="14" t="s">
        <v>981</v>
      </c>
      <c r="F51" s="14" t="s">
        <v>982</v>
      </c>
    </row>
    <row r="52" customFormat="false" ht="14.5" hidden="false" customHeight="false" outlineLevel="0" collapsed="false">
      <c r="A52" s="14" t="s">
        <v>978</v>
      </c>
      <c r="B52" s="14" t="n">
        <v>23</v>
      </c>
      <c r="C52" s="14" t="n">
        <v>1</v>
      </c>
      <c r="D52" s="14" t="n">
        <v>3</v>
      </c>
      <c r="E52" s="14" t="s">
        <v>983</v>
      </c>
      <c r="F52" s="14" t="s">
        <v>984</v>
      </c>
    </row>
    <row r="53" customFormat="false" ht="14.5" hidden="false" customHeight="false" outlineLevel="0" collapsed="false">
      <c r="A53" s="14" t="s">
        <v>985</v>
      </c>
      <c r="B53" s="14" t="n">
        <v>23</v>
      </c>
      <c r="C53" s="14" t="n">
        <v>3</v>
      </c>
      <c r="D53" s="14" t="n">
        <v>1</v>
      </c>
      <c r="E53" s="14" t="s">
        <v>983</v>
      </c>
      <c r="F53" s="14" t="s">
        <v>986</v>
      </c>
      <c r="G53" s="14"/>
    </row>
    <row r="54" customFormat="false" ht="14.5" hidden="false" customHeight="false" outlineLevel="0" collapsed="false">
      <c r="A54" s="14" t="s">
        <v>985</v>
      </c>
      <c r="B54" s="14" t="n">
        <v>23</v>
      </c>
      <c r="C54" s="14" t="n">
        <v>3</v>
      </c>
      <c r="D54" s="14" t="n">
        <v>2</v>
      </c>
      <c r="E54" s="14" t="s">
        <v>981</v>
      </c>
      <c r="F54" s="14" t="s">
        <v>987</v>
      </c>
      <c r="G54" s="14"/>
    </row>
    <row r="55" customFormat="false" ht="14.5" hidden="false" customHeight="false" outlineLevel="0" collapsed="false">
      <c r="A55" s="14" t="s">
        <v>988</v>
      </c>
      <c r="B55" s="14" t="n">
        <v>23</v>
      </c>
      <c r="C55" s="14" t="n">
        <v>2</v>
      </c>
      <c r="D55" s="14" t="n">
        <v>1</v>
      </c>
      <c r="E55" s="14" t="s">
        <v>983</v>
      </c>
      <c r="F55" s="14" t="s">
        <v>989</v>
      </c>
      <c r="G55" s="14"/>
    </row>
    <row r="56" customFormat="false" ht="14.5" hidden="false" customHeight="false" outlineLevel="0" collapsed="false">
      <c r="A56" s="14" t="s">
        <v>990</v>
      </c>
      <c r="B56" s="14" t="n">
        <v>42</v>
      </c>
      <c r="C56" s="14" t="n">
        <v>1</v>
      </c>
      <c r="D56" s="14" t="n">
        <v>1</v>
      </c>
      <c r="E56" s="14" t="s">
        <v>991</v>
      </c>
      <c r="F56" s="14" t="s">
        <v>992</v>
      </c>
      <c r="G56" s="14"/>
    </row>
    <row r="57" customFormat="false" ht="14.5" hidden="false" customHeight="false" outlineLevel="0" collapsed="false">
      <c r="A57" s="14" t="s">
        <v>990</v>
      </c>
      <c r="B57" s="14" t="n">
        <v>42</v>
      </c>
      <c r="C57" s="14" t="n">
        <v>1</v>
      </c>
      <c r="D57" s="14" t="n">
        <v>2</v>
      </c>
      <c r="E57" s="14" t="s">
        <v>993</v>
      </c>
      <c r="F57" s="14" t="s">
        <v>994</v>
      </c>
      <c r="G57" s="14"/>
    </row>
    <row r="58" customFormat="false" ht="14.5" hidden="false" customHeight="false" outlineLevel="0" collapsed="false">
      <c r="A58" s="14" t="s">
        <v>990</v>
      </c>
      <c r="B58" s="14" t="n">
        <v>42</v>
      </c>
      <c r="C58" s="14" t="n">
        <v>1</v>
      </c>
      <c r="D58" s="14" t="n">
        <v>3</v>
      </c>
      <c r="E58" s="14" t="s">
        <v>995</v>
      </c>
      <c r="F58" s="14" t="s">
        <v>996</v>
      </c>
      <c r="G58" s="14"/>
    </row>
    <row r="59" customFormat="false" ht="14.5" hidden="false" customHeight="false" outlineLevel="0" collapsed="false">
      <c r="A59" s="14" t="s">
        <v>990</v>
      </c>
      <c r="B59" s="14" t="n">
        <v>42</v>
      </c>
      <c r="C59" s="14" t="n">
        <v>1</v>
      </c>
      <c r="D59" s="14" t="n">
        <v>1</v>
      </c>
      <c r="E59" s="14" t="s">
        <v>997</v>
      </c>
      <c r="F59" s="14" t="s">
        <v>998</v>
      </c>
      <c r="G59" s="14"/>
    </row>
    <row r="60" customFormat="false" ht="14.5" hidden="false" customHeight="false" outlineLevel="0" collapsed="false">
      <c r="A60" s="14" t="s">
        <v>990</v>
      </c>
      <c r="B60" s="14" t="n">
        <v>42</v>
      </c>
      <c r="C60" s="14" t="n">
        <v>1</v>
      </c>
      <c r="D60" s="14" t="n">
        <v>2</v>
      </c>
      <c r="E60" s="14" t="s">
        <v>999</v>
      </c>
      <c r="F60" s="14" t="s">
        <v>1000</v>
      </c>
      <c r="G60" s="14"/>
    </row>
    <row r="61" customFormat="false" ht="14.5" hidden="false" customHeight="false" outlineLevel="0" collapsed="false">
      <c r="A61" s="14" t="s">
        <v>990</v>
      </c>
      <c r="B61" s="14" t="n">
        <v>42</v>
      </c>
      <c r="C61" s="14" t="n">
        <v>1</v>
      </c>
      <c r="D61" s="14" t="n">
        <v>3</v>
      </c>
      <c r="E61" s="14" t="s">
        <v>1001</v>
      </c>
      <c r="F61" s="14" t="s">
        <v>1002</v>
      </c>
      <c r="G61" s="14"/>
    </row>
    <row r="62" customFormat="false" ht="14.5" hidden="false" customHeight="false" outlineLevel="0" collapsed="false">
      <c r="A62" s="14" t="s">
        <v>1003</v>
      </c>
      <c r="B62" s="14" t="n">
        <v>42</v>
      </c>
      <c r="C62" s="14" t="n">
        <v>2</v>
      </c>
      <c r="D62" s="14" t="n">
        <v>1</v>
      </c>
      <c r="E62" s="14" t="s">
        <v>991</v>
      </c>
      <c r="F62" s="14" t="s">
        <v>1004</v>
      </c>
    </row>
    <row r="63" customFormat="false" ht="14.5" hidden="false" customHeight="false" outlineLevel="0" collapsed="false">
      <c r="A63" s="14" t="s">
        <v>1003</v>
      </c>
      <c r="B63" s="14" t="n">
        <v>42</v>
      </c>
      <c r="C63" s="14" t="n">
        <v>2</v>
      </c>
      <c r="D63" s="14" t="n">
        <v>2</v>
      </c>
      <c r="E63" s="14" t="s">
        <v>991</v>
      </c>
      <c r="F63" s="14" t="s">
        <v>1005</v>
      </c>
    </row>
    <row r="64" customFormat="false" ht="14.5" hidden="false" customHeight="false" outlineLevel="0" collapsed="false">
      <c r="A64" s="14" t="s">
        <v>1003</v>
      </c>
      <c r="B64" s="14" t="n">
        <v>42</v>
      </c>
      <c r="C64" s="14" t="n">
        <v>2</v>
      </c>
      <c r="D64" s="14" t="n">
        <v>1</v>
      </c>
      <c r="E64" s="14" t="s">
        <v>997</v>
      </c>
      <c r="F64" s="14" t="s">
        <v>1006</v>
      </c>
    </row>
    <row r="65" customFormat="false" ht="14.5" hidden="false" customHeight="false" outlineLevel="0" collapsed="false">
      <c r="A65" s="14" t="s">
        <v>1003</v>
      </c>
      <c r="B65" s="14" t="n">
        <v>42</v>
      </c>
      <c r="C65" s="14" t="n">
        <v>2</v>
      </c>
      <c r="D65" s="14" t="n">
        <v>2</v>
      </c>
      <c r="E65" s="14" t="s">
        <v>1001</v>
      </c>
      <c r="F65" s="14" t="s">
        <v>1007</v>
      </c>
    </row>
    <row r="66" customFormat="false" ht="14.5" hidden="false" customHeight="false" outlineLevel="0" collapsed="false">
      <c r="A66" s="14" t="s">
        <v>1008</v>
      </c>
      <c r="B66" s="14" t="n">
        <v>42</v>
      </c>
      <c r="C66" s="14" t="n">
        <v>3</v>
      </c>
      <c r="D66" s="14" t="n">
        <v>1</v>
      </c>
      <c r="E66" s="14" t="s">
        <v>991</v>
      </c>
      <c r="F66" s="14" t="s">
        <v>1009</v>
      </c>
    </row>
    <row r="67" customFormat="false" ht="14.5" hidden="false" customHeight="false" outlineLevel="0" collapsed="false">
      <c r="A67" s="14" t="s">
        <v>1008</v>
      </c>
      <c r="B67" s="14" t="n">
        <v>42</v>
      </c>
      <c r="C67" s="14" t="n">
        <v>3</v>
      </c>
      <c r="D67" s="14" t="n">
        <v>2</v>
      </c>
      <c r="E67" s="14" t="s">
        <v>993</v>
      </c>
      <c r="F67" s="14" t="s">
        <v>1010</v>
      </c>
    </row>
    <row r="68" customFormat="false" ht="14.5" hidden="false" customHeight="false" outlineLevel="0" collapsed="false">
      <c r="A68" s="14" t="s">
        <v>1008</v>
      </c>
      <c r="B68" s="14" t="n">
        <v>42</v>
      </c>
      <c r="C68" s="14" t="n">
        <v>3</v>
      </c>
      <c r="D68" s="14" t="n">
        <v>1</v>
      </c>
      <c r="E68" s="14" t="s">
        <v>997</v>
      </c>
      <c r="F68" s="14" t="s">
        <v>1011</v>
      </c>
    </row>
    <row r="69" customFormat="false" ht="14.5" hidden="false" customHeight="false" outlineLevel="0" collapsed="false">
      <c r="A69" s="14" t="s">
        <v>1008</v>
      </c>
      <c r="B69" s="14" t="n">
        <v>42</v>
      </c>
      <c r="C69" s="14" t="n">
        <v>3</v>
      </c>
      <c r="D69" s="14" t="n">
        <v>2</v>
      </c>
      <c r="E69" s="14" t="s">
        <v>1001</v>
      </c>
      <c r="F69" s="14" t="s">
        <v>1012</v>
      </c>
    </row>
    <row r="70" customFormat="false" ht="14.5" hidden="false" customHeight="false" outlineLevel="0" collapsed="false">
      <c r="A70" s="14" t="s">
        <v>1013</v>
      </c>
      <c r="B70" s="14" t="n">
        <v>52</v>
      </c>
      <c r="C70" s="14" t="n">
        <v>1</v>
      </c>
      <c r="D70" s="14" t="n">
        <v>1</v>
      </c>
      <c r="E70" s="14" t="s">
        <v>1014</v>
      </c>
      <c r="F70" s="14" t="s">
        <v>1015</v>
      </c>
    </row>
    <row r="71" customFormat="false" ht="14.5" hidden="false" customHeight="false" outlineLevel="0" collapsed="false">
      <c r="A71" s="14" t="s">
        <v>1016</v>
      </c>
      <c r="B71" s="14" t="n">
        <v>52</v>
      </c>
      <c r="C71" s="14" t="n">
        <v>2</v>
      </c>
      <c r="D71" s="14" t="n">
        <v>1</v>
      </c>
      <c r="E71" s="14" t="s">
        <v>1014</v>
      </c>
      <c r="F71" s="14" t="s">
        <v>1017</v>
      </c>
    </row>
    <row r="72" customFormat="false" ht="14.5" hidden="false" customHeight="false" outlineLevel="0" collapsed="false">
      <c r="A72" s="14" t="s">
        <v>1016</v>
      </c>
      <c r="B72" s="14" t="n">
        <v>52</v>
      </c>
      <c r="C72" s="14" t="n">
        <v>2</v>
      </c>
      <c r="D72" s="14" t="n">
        <v>1</v>
      </c>
      <c r="E72" s="14" t="s">
        <v>928</v>
      </c>
      <c r="F72" s="14" t="s">
        <v>1018</v>
      </c>
    </row>
    <row r="73" customFormat="false" ht="14.5" hidden="false" customHeight="false" outlineLevel="0" collapsed="false">
      <c r="A73" s="14" t="s">
        <v>1016</v>
      </c>
      <c r="B73" s="14" t="n">
        <v>52</v>
      </c>
      <c r="C73" s="14" t="n">
        <v>2</v>
      </c>
      <c r="D73" s="14" t="n">
        <v>2</v>
      </c>
      <c r="E73" s="14" t="s">
        <v>930</v>
      </c>
      <c r="F73" s="14" t="s">
        <v>1019</v>
      </c>
    </row>
    <row r="74" customFormat="false" ht="14.5" hidden="false" customHeight="false" outlineLevel="0" collapsed="false">
      <c r="A74" s="14" t="s">
        <v>1016</v>
      </c>
      <c r="B74" s="14" t="n">
        <v>52</v>
      </c>
      <c r="C74" s="14" t="n">
        <v>2</v>
      </c>
      <c r="D74" s="14" t="n">
        <v>3</v>
      </c>
      <c r="E74" s="14" t="s">
        <v>1020</v>
      </c>
      <c r="F74" s="14" t="s">
        <v>1021</v>
      </c>
    </row>
    <row r="75" customFormat="false" ht="14.5" hidden="false" customHeight="false" outlineLevel="0" collapsed="false">
      <c r="A75" s="14" t="s">
        <v>1016</v>
      </c>
      <c r="B75" s="14" t="n">
        <v>52</v>
      </c>
      <c r="C75" s="14" t="n">
        <v>2</v>
      </c>
      <c r="D75" s="14" t="n">
        <v>4</v>
      </c>
      <c r="E75" s="14" t="s">
        <v>1022</v>
      </c>
      <c r="F75" s="14" t="s">
        <v>1023</v>
      </c>
    </row>
    <row r="76" customFormat="false" ht="14.5" hidden="false" customHeight="false" outlineLevel="0" collapsed="false">
      <c r="A76" s="14" t="s">
        <v>1016</v>
      </c>
      <c r="B76" s="14" t="n">
        <v>52</v>
      </c>
      <c r="C76" s="14" t="n">
        <v>2</v>
      </c>
      <c r="D76" s="14" t="n">
        <v>1</v>
      </c>
      <c r="E76" s="14" t="s">
        <v>1014</v>
      </c>
      <c r="F76" s="14" t="s">
        <v>1024</v>
      </c>
    </row>
    <row r="77" customFormat="false" ht="14.5" hidden="false" customHeight="false" outlineLevel="0" collapsed="false">
      <c r="A77" s="14" t="s">
        <v>1016</v>
      </c>
      <c r="B77" s="14" t="n">
        <v>52</v>
      </c>
      <c r="C77" s="14" t="n">
        <v>2</v>
      </c>
      <c r="D77" s="14" t="n">
        <v>2</v>
      </c>
      <c r="E77" s="14" t="s">
        <v>1025</v>
      </c>
      <c r="F77" s="14" t="s">
        <v>1026</v>
      </c>
    </row>
    <row r="78" customFormat="false" ht="14.5" hidden="false" customHeight="false" outlineLevel="0" collapsed="false">
      <c r="A78" s="14" t="s">
        <v>1016</v>
      </c>
      <c r="B78" s="14" t="n">
        <v>52</v>
      </c>
      <c r="C78" s="14" t="n">
        <v>2</v>
      </c>
      <c r="D78" s="14" t="n">
        <v>3</v>
      </c>
      <c r="E78" s="14" t="s">
        <v>1027</v>
      </c>
      <c r="F78" s="14" t="s">
        <v>1028</v>
      </c>
    </row>
    <row r="79" customFormat="false" ht="14.5" hidden="false" customHeight="false" outlineLevel="0" collapsed="false">
      <c r="A79" s="14" t="s">
        <v>1029</v>
      </c>
      <c r="B79" s="14" t="n">
        <v>52</v>
      </c>
      <c r="C79" s="14" t="n">
        <v>3</v>
      </c>
      <c r="D79" s="14" t="n">
        <v>1</v>
      </c>
      <c r="E79" s="14" t="s">
        <v>1030</v>
      </c>
      <c r="F79" s="14" t="s">
        <v>1031</v>
      </c>
    </row>
    <row r="80" customFormat="false" ht="14.5" hidden="false" customHeight="false" outlineLevel="0" collapsed="false">
      <c r="A80" s="14" t="s">
        <v>1029</v>
      </c>
      <c r="B80" s="14" t="n">
        <v>52</v>
      </c>
      <c r="C80" s="14" t="n">
        <v>3</v>
      </c>
      <c r="D80" s="14" t="n">
        <v>2</v>
      </c>
      <c r="E80" s="14" t="s">
        <v>1014</v>
      </c>
      <c r="F80" s="14" t="s">
        <v>1032</v>
      </c>
    </row>
    <row r="81" customFormat="false" ht="14.5" hidden="false" customHeight="false" outlineLevel="0" collapsed="false">
      <c r="A81" s="14" t="s">
        <v>1029</v>
      </c>
      <c r="B81" s="14" t="n">
        <v>52</v>
      </c>
      <c r="C81" s="14" t="n">
        <v>3</v>
      </c>
      <c r="D81" s="14" t="n">
        <v>3</v>
      </c>
      <c r="E81" s="14" t="s">
        <v>1025</v>
      </c>
      <c r="F81" s="14" t="s">
        <v>1033</v>
      </c>
    </row>
    <row r="82" customFormat="false" ht="14.5" hidden="false" customHeight="false" outlineLevel="0" collapsed="false">
      <c r="A82" s="14" t="s">
        <v>1029</v>
      </c>
      <c r="B82" s="14" t="n">
        <v>52</v>
      </c>
      <c r="C82" s="14" t="n">
        <v>3</v>
      </c>
      <c r="D82" s="14" t="n">
        <v>4</v>
      </c>
      <c r="E82" s="14" t="s">
        <v>1027</v>
      </c>
      <c r="F82" s="14" t="s">
        <v>1034</v>
      </c>
    </row>
    <row r="83" customFormat="false" ht="14.5" hidden="false" customHeight="false" outlineLevel="0" collapsed="false">
      <c r="A83" s="14" t="s">
        <v>1029</v>
      </c>
      <c r="B83" s="14" t="n">
        <v>52</v>
      </c>
      <c r="C83" s="14" t="n">
        <v>3</v>
      </c>
      <c r="D83" s="14" t="n">
        <v>1</v>
      </c>
      <c r="E83" s="14" t="s">
        <v>928</v>
      </c>
      <c r="F83" s="14" t="s">
        <v>1035</v>
      </c>
    </row>
    <row r="84" customFormat="false" ht="14.5" hidden="false" customHeight="false" outlineLevel="0" collapsed="false">
      <c r="A84" s="14" t="s">
        <v>1029</v>
      </c>
      <c r="B84" s="14" t="n">
        <v>52</v>
      </c>
      <c r="C84" s="14" t="n">
        <v>3</v>
      </c>
      <c r="D84" s="14" t="n">
        <v>2</v>
      </c>
      <c r="E84" s="14" t="s">
        <v>930</v>
      </c>
      <c r="F84" s="14" t="s">
        <v>1036</v>
      </c>
    </row>
    <row r="85" customFormat="false" ht="14.5" hidden="false" customHeight="false" outlineLevel="0" collapsed="false">
      <c r="A85" s="14" t="s">
        <v>1029</v>
      </c>
      <c r="B85" s="14" t="n">
        <v>52</v>
      </c>
      <c r="C85" s="14" t="n">
        <v>3</v>
      </c>
      <c r="D85" s="14" t="n">
        <v>1</v>
      </c>
      <c r="E85" s="14" t="s">
        <v>1014</v>
      </c>
      <c r="F85" s="14" t="s">
        <v>1037</v>
      </c>
    </row>
    <row r="86" customFormat="false" ht="14.5" hidden="false" customHeight="false" outlineLevel="0" collapsed="false">
      <c r="A86" s="14" t="s">
        <v>1038</v>
      </c>
      <c r="B86" s="14" t="n">
        <v>67</v>
      </c>
      <c r="C86" s="14" t="n">
        <v>1</v>
      </c>
      <c r="D86" s="14" t="n">
        <v>1</v>
      </c>
      <c r="E86" s="14" t="s">
        <v>1039</v>
      </c>
      <c r="F86" s="14" t="s">
        <v>1040</v>
      </c>
    </row>
    <row r="87" customFormat="false" ht="14.5" hidden="false" customHeight="false" outlineLevel="0" collapsed="false">
      <c r="A87" s="14" t="s">
        <v>1038</v>
      </c>
      <c r="B87" s="14" t="n">
        <v>67</v>
      </c>
      <c r="C87" s="14" t="n">
        <v>1</v>
      </c>
      <c r="D87" s="14" t="n">
        <v>2</v>
      </c>
      <c r="E87" s="14" t="s">
        <v>1041</v>
      </c>
      <c r="F87" s="14" t="s">
        <v>1042</v>
      </c>
    </row>
    <row r="88" customFormat="false" ht="14.5" hidden="false" customHeight="false" outlineLevel="0" collapsed="false">
      <c r="A88" s="14" t="s">
        <v>1038</v>
      </c>
      <c r="B88" s="14" t="n">
        <v>67</v>
      </c>
      <c r="C88" s="14" t="n">
        <v>1</v>
      </c>
      <c r="D88" s="14" t="n">
        <v>3</v>
      </c>
      <c r="E88" s="14" t="s">
        <v>1043</v>
      </c>
      <c r="F88" s="14" t="s">
        <v>1044</v>
      </c>
    </row>
    <row r="89" customFormat="false" ht="14.5" hidden="false" customHeight="false" outlineLevel="0" collapsed="false">
      <c r="A89" s="14" t="s">
        <v>1045</v>
      </c>
      <c r="B89" s="14" t="n">
        <v>67</v>
      </c>
      <c r="C89" s="14" t="n">
        <v>2</v>
      </c>
      <c r="D89" s="14" t="n">
        <v>1</v>
      </c>
      <c r="E89" s="14" t="s">
        <v>1039</v>
      </c>
      <c r="F89" s="14" t="s">
        <v>1046</v>
      </c>
    </row>
    <row r="90" customFormat="false" ht="14.5" hidden="false" customHeight="false" outlineLevel="0" collapsed="false">
      <c r="A90" s="14" t="s">
        <v>1047</v>
      </c>
      <c r="B90" s="14" t="n">
        <v>67</v>
      </c>
      <c r="C90" s="14" t="n">
        <v>3</v>
      </c>
      <c r="D90" s="14" t="n">
        <v>1</v>
      </c>
      <c r="E90" s="14" t="s">
        <v>1039</v>
      </c>
      <c r="F90" s="14" t="s">
        <v>1048</v>
      </c>
    </row>
    <row r="91" customFormat="false" ht="14.5" hidden="false" customHeight="false" outlineLevel="0" collapsed="false">
      <c r="A91" s="14" t="s">
        <v>1049</v>
      </c>
      <c r="B91" s="14" t="n">
        <v>70</v>
      </c>
      <c r="C91" s="14" t="n">
        <v>1</v>
      </c>
      <c r="D91" s="14" t="n">
        <v>1</v>
      </c>
      <c r="E91" s="14" t="s">
        <v>1050</v>
      </c>
      <c r="F91" s="14" t="s">
        <v>1051</v>
      </c>
    </row>
    <row r="92" customFormat="false" ht="14.5" hidden="false" customHeight="false" outlineLevel="0" collapsed="false">
      <c r="A92" s="14" t="s">
        <v>1049</v>
      </c>
      <c r="B92" s="14" t="n">
        <v>70</v>
      </c>
      <c r="C92" s="14" t="n">
        <v>1</v>
      </c>
      <c r="D92" s="14" t="n">
        <v>2</v>
      </c>
      <c r="E92" s="14" t="s">
        <v>928</v>
      </c>
      <c r="F92" s="14" t="s">
        <v>1052</v>
      </c>
    </row>
    <row r="93" customFormat="false" ht="14.5" hidden="false" customHeight="false" outlineLevel="0" collapsed="false">
      <c r="A93" s="14" t="s">
        <v>1049</v>
      </c>
      <c r="B93" s="14" t="n">
        <v>70</v>
      </c>
      <c r="C93" s="14" t="n">
        <v>1</v>
      </c>
      <c r="D93" s="14" t="n">
        <v>3</v>
      </c>
      <c r="E93" s="14" t="s">
        <v>930</v>
      </c>
      <c r="F93" s="14" t="s">
        <v>1053</v>
      </c>
    </row>
    <row r="94" customFormat="false" ht="14.5" hidden="false" customHeight="false" outlineLevel="0" collapsed="false">
      <c r="A94" s="14" t="s">
        <v>1049</v>
      </c>
      <c r="B94" s="14" t="n">
        <v>70</v>
      </c>
      <c r="C94" s="14" t="n">
        <v>1</v>
      </c>
      <c r="D94" s="14" t="n">
        <v>4</v>
      </c>
      <c r="E94" s="14" t="s">
        <v>1020</v>
      </c>
      <c r="F94" s="14" t="s">
        <v>1054</v>
      </c>
    </row>
    <row r="95" customFormat="false" ht="14.5" hidden="false" customHeight="false" outlineLevel="0" collapsed="false">
      <c r="A95" s="14" t="s">
        <v>1049</v>
      </c>
      <c r="B95" s="14" t="n">
        <v>70</v>
      </c>
      <c r="C95" s="14" t="n">
        <v>1</v>
      </c>
      <c r="D95" s="14" t="n">
        <v>5</v>
      </c>
      <c r="E95" s="14" t="s">
        <v>1022</v>
      </c>
      <c r="F95" s="14" t="s">
        <v>1055</v>
      </c>
    </row>
    <row r="96" customFormat="false" ht="14.5" hidden="false" customHeight="false" outlineLevel="0" collapsed="false">
      <c r="A96" s="14" t="s">
        <v>1049</v>
      </c>
      <c r="B96" s="14" t="n">
        <v>70</v>
      </c>
      <c r="C96" s="14" t="n">
        <v>1</v>
      </c>
      <c r="D96" s="14" t="n">
        <v>1</v>
      </c>
      <c r="E96" s="14" t="s">
        <v>1056</v>
      </c>
      <c r="F96" s="14" t="s">
        <v>1057</v>
      </c>
    </row>
    <row r="97" customFormat="false" ht="14.5" hidden="false" customHeight="false" outlineLevel="0" collapsed="false">
      <c r="A97" s="14" t="s">
        <v>1049</v>
      </c>
      <c r="B97" s="14" t="n">
        <v>70</v>
      </c>
      <c r="C97" s="14" t="n">
        <v>1</v>
      </c>
      <c r="D97" s="14" t="n">
        <v>2</v>
      </c>
      <c r="E97" s="14" t="s">
        <v>1058</v>
      </c>
      <c r="F97" s="14" t="s">
        <v>1059</v>
      </c>
    </row>
    <row r="98" customFormat="false" ht="14.5" hidden="false" customHeight="false" outlineLevel="0" collapsed="false">
      <c r="A98" s="14" t="s">
        <v>1060</v>
      </c>
      <c r="B98" s="14" t="n">
        <v>70</v>
      </c>
      <c r="C98" s="14" t="n">
        <v>2</v>
      </c>
      <c r="D98" s="14" t="n">
        <v>1</v>
      </c>
      <c r="E98" s="14" t="s">
        <v>1050</v>
      </c>
      <c r="F98" s="14" t="s">
        <v>1061</v>
      </c>
    </row>
    <row r="99" customFormat="false" ht="14.5" hidden="false" customHeight="false" outlineLevel="0" collapsed="false">
      <c r="A99" s="14" t="s">
        <v>1060</v>
      </c>
      <c r="B99" s="14" t="n">
        <v>70</v>
      </c>
      <c r="C99" s="14" t="n">
        <v>2</v>
      </c>
      <c r="D99" s="14" t="n">
        <v>2</v>
      </c>
      <c r="E99" s="14" t="s">
        <v>928</v>
      </c>
      <c r="F99" s="14" t="s">
        <v>1062</v>
      </c>
    </row>
    <row r="100" customFormat="false" ht="14.5" hidden="false" customHeight="false" outlineLevel="0" collapsed="false">
      <c r="A100" s="14" t="s">
        <v>1060</v>
      </c>
      <c r="B100" s="14" t="n">
        <v>70</v>
      </c>
      <c r="C100" s="14" t="n">
        <v>2</v>
      </c>
      <c r="D100" s="14" t="n">
        <v>3</v>
      </c>
      <c r="E100" s="14" t="s">
        <v>930</v>
      </c>
      <c r="F100" s="14" t="s">
        <v>1063</v>
      </c>
    </row>
    <row r="101" customFormat="false" ht="14.5" hidden="false" customHeight="false" outlineLevel="0" collapsed="false">
      <c r="A101" s="14" t="s">
        <v>1060</v>
      </c>
      <c r="B101" s="14" t="n">
        <v>70</v>
      </c>
      <c r="C101" s="14" t="n">
        <v>2</v>
      </c>
      <c r="D101" s="14" t="n">
        <v>4</v>
      </c>
      <c r="E101" s="14" t="s">
        <v>1020</v>
      </c>
      <c r="F101" s="14" t="s">
        <v>1064</v>
      </c>
    </row>
    <row r="102" customFormat="false" ht="14.5" hidden="false" customHeight="false" outlineLevel="0" collapsed="false">
      <c r="A102" s="14" t="s">
        <v>1060</v>
      </c>
      <c r="B102" s="14" t="n">
        <v>70</v>
      </c>
      <c r="C102" s="14" t="n">
        <v>2</v>
      </c>
      <c r="D102" s="14" t="n">
        <v>5</v>
      </c>
      <c r="E102" s="14" t="s">
        <v>1022</v>
      </c>
      <c r="F102" s="14" t="s">
        <v>1065</v>
      </c>
    </row>
    <row r="103" customFormat="false" ht="14.5" hidden="false" customHeight="false" outlineLevel="0" collapsed="false">
      <c r="A103" s="14" t="s">
        <v>1060</v>
      </c>
      <c r="B103" s="14" t="n">
        <v>70</v>
      </c>
      <c r="C103" s="14" t="n">
        <v>2</v>
      </c>
      <c r="D103" s="14" t="n">
        <v>1</v>
      </c>
      <c r="E103" s="14" t="s">
        <v>1056</v>
      </c>
      <c r="F103" s="14" t="s">
        <v>1066</v>
      </c>
    </row>
    <row r="104" customFormat="false" ht="14.5" hidden="false" customHeight="false" outlineLevel="0" collapsed="false">
      <c r="A104" s="14" t="s">
        <v>1060</v>
      </c>
      <c r="B104" s="14" t="n">
        <v>70</v>
      </c>
      <c r="C104" s="14" t="n">
        <v>2</v>
      </c>
      <c r="D104" s="14" t="n">
        <v>2</v>
      </c>
      <c r="E104" s="14" t="s">
        <v>1058</v>
      </c>
      <c r="F104" s="14" t="s">
        <v>1067</v>
      </c>
    </row>
    <row r="105" customFormat="false" ht="14.5" hidden="false" customHeight="false" outlineLevel="0" collapsed="false">
      <c r="A105" s="14" t="s">
        <v>1068</v>
      </c>
      <c r="B105" s="14" t="n">
        <v>70</v>
      </c>
      <c r="C105" s="14" t="n">
        <v>3</v>
      </c>
      <c r="D105" s="14" t="n">
        <v>1</v>
      </c>
      <c r="E105" s="14" t="s">
        <v>1050</v>
      </c>
      <c r="F105" s="14" t="s">
        <v>1069</v>
      </c>
    </row>
    <row r="106" customFormat="false" ht="14.5" hidden="false" customHeight="false" outlineLevel="0" collapsed="false">
      <c r="A106" s="14" t="s">
        <v>1068</v>
      </c>
      <c r="B106" s="14" t="n">
        <v>70</v>
      </c>
      <c r="C106" s="14" t="n">
        <v>3</v>
      </c>
      <c r="D106" s="14" t="n">
        <v>2</v>
      </c>
      <c r="E106" s="14" t="s">
        <v>928</v>
      </c>
      <c r="F106" s="14" t="s">
        <v>1070</v>
      </c>
    </row>
    <row r="107" customFormat="false" ht="14.5" hidden="false" customHeight="false" outlineLevel="0" collapsed="false">
      <c r="A107" s="14" t="s">
        <v>1068</v>
      </c>
      <c r="B107" s="14" t="n">
        <v>70</v>
      </c>
      <c r="C107" s="14" t="n">
        <v>3</v>
      </c>
      <c r="D107" s="14" t="n">
        <v>3</v>
      </c>
      <c r="E107" s="14" t="s">
        <v>930</v>
      </c>
      <c r="F107" s="14" t="s">
        <v>1071</v>
      </c>
    </row>
    <row r="108" customFormat="false" ht="14.5" hidden="false" customHeight="false" outlineLevel="0" collapsed="false">
      <c r="A108" s="14" t="s">
        <v>1068</v>
      </c>
      <c r="B108" s="14" t="n">
        <v>70</v>
      </c>
      <c r="C108" s="14" t="n">
        <v>3</v>
      </c>
      <c r="D108" s="14" t="n">
        <v>4</v>
      </c>
      <c r="E108" s="14" t="s">
        <v>1020</v>
      </c>
      <c r="F108" s="14" t="s">
        <v>1072</v>
      </c>
    </row>
    <row r="109" customFormat="false" ht="14.5" hidden="false" customHeight="false" outlineLevel="0" collapsed="false">
      <c r="A109" s="14" t="s">
        <v>1068</v>
      </c>
      <c r="B109" s="14" t="n">
        <v>70</v>
      </c>
      <c r="C109" s="14" t="n">
        <v>3</v>
      </c>
      <c r="D109" s="14" t="n">
        <v>5</v>
      </c>
      <c r="E109" s="14" t="s">
        <v>1022</v>
      </c>
      <c r="F109" s="14" t="s">
        <v>1073</v>
      </c>
    </row>
    <row r="110" customFormat="false" ht="14.5" hidden="false" customHeight="false" outlineLevel="0" collapsed="false">
      <c r="A110" s="14" t="s">
        <v>1068</v>
      </c>
      <c r="B110" s="14" t="n">
        <v>70</v>
      </c>
      <c r="C110" s="14" t="n">
        <v>3</v>
      </c>
      <c r="D110" s="14" t="n">
        <v>1</v>
      </c>
      <c r="E110" s="14" t="s">
        <v>1056</v>
      </c>
      <c r="F110" s="14" t="s">
        <v>1074</v>
      </c>
    </row>
    <row r="111" customFormat="false" ht="14.5" hidden="false" customHeight="false" outlineLevel="0" collapsed="false">
      <c r="A111" s="14" t="s">
        <v>1068</v>
      </c>
      <c r="B111" s="14" t="n">
        <v>70</v>
      </c>
      <c r="C111" s="14" t="n">
        <v>3</v>
      </c>
      <c r="D111" s="14" t="n">
        <v>2</v>
      </c>
      <c r="E111" s="14" t="s">
        <v>1058</v>
      </c>
      <c r="F111" s="14" t="s">
        <v>1075</v>
      </c>
    </row>
    <row r="112" customFormat="false" ht="14.5" hidden="false" customHeight="false" outlineLevel="0" collapsed="false">
      <c r="A112" s="14" t="s">
        <v>1076</v>
      </c>
      <c r="B112" s="14" t="n">
        <v>78</v>
      </c>
      <c r="C112" s="14" t="n">
        <v>1</v>
      </c>
      <c r="D112" s="14" t="n">
        <v>1</v>
      </c>
      <c r="E112" s="14" t="s">
        <v>1077</v>
      </c>
      <c r="F112" s="14" t="s">
        <v>1078</v>
      </c>
    </row>
    <row r="113" customFormat="false" ht="14.5" hidden="false" customHeight="false" outlineLevel="0" collapsed="false">
      <c r="A113" s="14" t="s">
        <v>1076</v>
      </c>
      <c r="B113" s="14" t="n">
        <v>78</v>
      </c>
      <c r="C113" s="14" t="n">
        <v>1</v>
      </c>
      <c r="D113" s="14" t="n">
        <v>1</v>
      </c>
      <c r="E113" s="14" t="s">
        <v>1079</v>
      </c>
      <c r="F113" s="14" t="s">
        <v>1080</v>
      </c>
    </row>
    <row r="114" customFormat="false" ht="14.5" hidden="false" customHeight="false" outlineLevel="0" collapsed="false">
      <c r="A114" s="14" t="s">
        <v>1076</v>
      </c>
      <c r="B114" s="14" t="n">
        <v>78</v>
      </c>
      <c r="C114" s="14" t="n">
        <v>1</v>
      </c>
      <c r="D114" s="14" t="n">
        <v>2</v>
      </c>
      <c r="E114" s="14" t="s">
        <v>1081</v>
      </c>
      <c r="F114" s="14" t="s">
        <v>1082</v>
      </c>
    </row>
    <row r="115" customFormat="false" ht="14.5" hidden="false" customHeight="false" outlineLevel="0" collapsed="false">
      <c r="A115" s="14" t="s">
        <v>1083</v>
      </c>
      <c r="B115" s="14" t="n">
        <v>78</v>
      </c>
      <c r="C115" s="14" t="n">
        <v>2</v>
      </c>
      <c r="D115" s="14" t="n">
        <v>1</v>
      </c>
      <c r="E115" s="14" t="s">
        <v>1077</v>
      </c>
      <c r="F115" s="14" t="s">
        <v>1084</v>
      </c>
    </row>
    <row r="116" customFormat="false" ht="14.5" hidden="false" customHeight="false" outlineLevel="0" collapsed="false">
      <c r="A116" s="14" t="s">
        <v>1083</v>
      </c>
      <c r="B116" s="14" t="n">
        <v>78</v>
      </c>
      <c r="C116" s="14" t="n">
        <v>2</v>
      </c>
      <c r="D116" s="14" t="n">
        <v>1</v>
      </c>
      <c r="E116" s="14" t="s">
        <v>1079</v>
      </c>
      <c r="F116" s="14" t="s">
        <v>1085</v>
      </c>
    </row>
    <row r="117" customFormat="false" ht="14.5" hidden="false" customHeight="false" outlineLevel="0" collapsed="false">
      <c r="A117" s="14" t="s">
        <v>1083</v>
      </c>
      <c r="B117" s="14" t="n">
        <v>78</v>
      </c>
      <c r="C117" s="14" t="n">
        <v>2</v>
      </c>
      <c r="D117" s="14" t="n">
        <v>2</v>
      </c>
      <c r="E117" s="14" t="s">
        <v>1081</v>
      </c>
      <c r="F117" s="14" t="s">
        <v>1086</v>
      </c>
    </row>
    <row r="118" customFormat="false" ht="14.5" hidden="false" customHeight="false" outlineLevel="0" collapsed="false">
      <c r="A118" s="14" t="s">
        <v>1087</v>
      </c>
      <c r="B118" s="14" t="n">
        <v>78</v>
      </c>
      <c r="C118" s="14" t="n">
        <v>3</v>
      </c>
      <c r="D118" s="14" t="n">
        <v>1</v>
      </c>
      <c r="E118" s="14" t="s">
        <v>1077</v>
      </c>
      <c r="F118" s="14" t="s">
        <v>1088</v>
      </c>
    </row>
    <row r="119" customFormat="false" ht="14.5" hidden="false" customHeight="false" outlineLevel="0" collapsed="false">
      <c r="A119" s="14" t="s">
        <v>1087</v>
      </c>
      <c r="B119" s="14" t="n">
        <v>78</v>
      </c>
      <c r="C119" s="14" t="n">
        <v>3</v>
      </c>
      <c r="D119" s="14" t="n">
        <v>1</v>
      </c>
      <c r="E119" s="14" t="s">
        <v>1079</v>
      </c>
      <c r="F119" s="14" t="s">
        <v>1089</v>
      </c>
    </row>
    <row r="120" customFormat="false" ht="14.5" hidden="false" customHeight="false" outlineLevel="0" collapsed="false">
      <c r="A120" s="14" t="s">
        <v>1087</v>
      </c>
      <c r="B120" s="14" t="n">
        <v>78</v>
      </c>
      <c r="C120" s="14" t="n">
        <v>3</v>
      </c>
      <c r="D120" s="14" t="n">
        <v>2</v>
      </c>
      <c r="E120" s="14" t="s">
        <v>1081</v>
      </c>
      <c r="F120" s="14" t="s">
        <v>1090</v>
      </c>
    </row>
    <row r="121" customFormat="false" ht="14.5" hidden="false" customHeight="false" outlineLevel="0" collapsed="false">
      <c r="A121" s="14" t="s">
        <v>1091</v>
      </c>
      <c r="B121" s="14" t="n">
        <v>83</v>
      </c>
      <c r="C121" s="14" t="n">
        <v>1</v>
      </c>
      <c r="D121" s="14" t="n">
        <v>1</v>
      </c>
      <c r="E121" s="14" t="s">
        <v>1092</v>
      </c>
      <c r="F121" s="14" t="s">
        <v>1093</v>
      </c>
    </row>
    <row r="122" customFormat="false" ht="14.5" hidden="false" customHeight="false" outlineLevel="0" collapsed="false">
      <c r="A122" s="14" t="s">
        <v>1091</v>
      </c>
      <c r="B122" s="14" t="n">
        <v>83</v>
      </c>
      <c r="C122" s="14" t="n">
        <v>1</v>
      </c>
      <c r="D122" s="14" t="n">
        <v>2</v>
      </c>
      <c r="E122" s="14" t="s">
        <v>1094</v>
      </c>
      <c r="F122" s="14" t="s">
        <v>1095</v>
      </c>
    </row>
    <row r="123" customFormat="false" ht="14.5" hidden="false" customHeight="false" outlineLevel="0" collapsed="false">
      <c r="A123" s="14" t="s">
        <v>1091</v>
      </c>
      <c r="B123" s="14" t="n">
        <v>83</v>
      </c>
      <c r="C123" s="14" t="n">
        <v>1</v>
      </c>
      <c r="D123" s="14" t="n">
        <v>3</v>
      </c>
      <c r="E123" s="14" t="s">
        <v>1096</v>
      </c>
      <c r="F123" s="14" t="s">
        <v>1097</v>
      </c>
    </row>
    <row r="124" customFormat="false" ht="14.5" hidden="false" customHeight="false" outlineLevel="0" collapsed="false">
      <c r="A124" s="14" t="s">
        <v>1098</v>
      </c>
      <c r="B124" s="14" t="n">
        <v>83</v>
      </c>
      <c r="C124" s="14" t="n">
        <v>2</v>
      </c>
      <c r="D124" s="14" t="n">
        <v>1</v>
      </c>
      <c r="E124" s="14" t="s">
        <v>1094</v>
      </c>
      <c r="F124" s="14" t="s">
        <v>1099</v>
      </c>
    </row>
    <row r="125" customFormat="false" ht="14.5" hidden="false" customHeight="false" outlineLevel="0" collapsed="false">
      <c r="A125" s="14" t="s">
        <v>1098</v>
      </c>
      <c r="B125" s="14" t="n">
        <v>83</v>
      </c>
      <c r="C125" s="14" t="n">
        <v>2</v>
      </c>
      <c r="D125" s="14" t="n">
        <v>2</v>
      </c>
      <c r="E125" s="14" t="s">
        <v>1096</v>
      </c>
      <c r="F125" s="14" t="s">
        <v>1100</v>
      </c>
    </row>
    <row r="126" customFormat="false" ht="14.5" hidden="false" customHeight="false" outlineLevel="0" collapsed="false">
      <c r="A126" s="14" t="s">
        <v>1101</v>
      </c>
      <c r="B126" s="14" t="n">
        <v>83</v>
      </c>
      <c r="C126" s="14" t="n">
        <v>3</v>
      </c>
      <c r="D126" s="14" t="n">
        <v>1</v>
      </c>
      <c r="E126" s="14" t="s">
        <v>1092</v>
      </c>
      <c r="F126" s="14" t="s">
        <v>1102</v>
      </c>
    </row>
    <row r="127" customFormat="false" ht="14.5" hidden="false" customHeight="false" outlineLevel="0" collapsed="false">
      <c r="A127" s="14" t="s">
        <v>1101</v>
      </c>
      <c r="B127" s="14" t="n">
        <v>83</v>
      </c>
      <c r="C127" s="14" t="n">
        <v>3</v>
      </c>
      <c r="D127" s="14" t="n">
        <v>2</v>
      </c>
      <c r="E127" s="14" t="s">
        <v>1094</v>
      </c>
      <c r="F127" s="14" t="s">
        <v>1103</v>
      </c>
    </row>
    <row r="128" customFormat="false" ht="14.5" hidden="false" customHeight="false" outlineLevel="0" collapsed="false">
      <c r="A128" s="14" t="s">
        <v>1101</v>
      </c>
      <c r="B128" s="14" t="n">
        <v>83</v>
      </c>
      <c r="C128" s="14" t="n">
        <v>3</v>
      </c>
      <c r="D128" s="14" t="n">
        <v>3</v>
      </c>
      <c r="E128" s="14" t="s">
        <v>1096</v>
      </c>
      <c r="F128" s="14" t="s">
        <v>1104</v>
      </c>
    </row>
    <row r="129" customFormat="false" ht="14.5" hidden="false" customHeight="false" outlineLevel="0" collapsed="false">
      <c r="A129" s="14" t="s">
        <v>1101</v>
      </c>
      <c r="B129" s="14" t="n">
        <v>83</v>
      </c>
      <c r="C129" s="14" t="n">
        <v>3</v>
      </c>
      <c r="D129" s="14" t="n">
        <v>4</v>
      </c>
      <c r="E129" s="14" t="s">
        <v>1105</v>
      </c>
      <c r="F129" s="14" t="s">
        <v>1106</v>
      </c>
    </row>
    <row r="130" customFormat="false" ht="14.5" hidden="false" customHeight="false" outlineLevel="0" collapsed="false">
      <c r="A130" s="14" t="s">
        <v>1101</v>
      </c>
      <c r="B130" s="14" t="n">
        <v>83</v>
      </c>
      <c r="C130" s="14" t="n">
        <v>3</v>
      </c>
      <c r="D130" s="14" t="n">
        <v>5</v>
      </c>
      <c r="E130" s="14" t="s">
        <v>1107</v>
      </c>
      <c r="F130" s="14" t="s">
        <v>1108</v>
      </c>
    </row>
    <row r="131" customFormat="false" ht="14.5" hidden="false" customHeight="false" outlineLevel="0" collapsed="false">
      <c r="A131" s="14" t="s">
        <v>1109</v>
      </c>
      <c r="B131" s="14" t="n">
        <v>193</v>
      </c>
      <c r="C131" s="14" t="n">
        <v>1</v>
      </c>
      <c r="D131" s="14" t="n">
        <v>1</v>
      </c>
      <c r="E131" s="14" t="s">
        <v>1110</v>
      </c>
      <c r="F131" s="14" t="s">
        <v>1111</v>
      </c>
    </row>
    <row r="132" customFormat="false" ht="14.5" hidden="false" customHeight="false" outlineLevel="0" collapsed="false">
      <c r="A132" s="14" t="s">
        <v>1112</v>
      </c>
      <c r="B132" s="14" t="n">
        <v>193</v>
      </c>
      <c r="C132" s="14" t="n">
        <v>2</v>
      </c>
      <c r="D132" s="14" t="n">
        <v>1</v>
      </c>
      <c r="E132" s="14" t="s">
        <v>1110</v>
      </c>
      <c r="F132" s="14" t="s">
        <v>1113</v>
      </c>
    </row>
    <row r="133" customFormat="false" ht="14.5" hidden="false" customHeight="false" outlineLevel="0" collapsed="false">
      <c r="A133" s="14" t="s">
        <v>1112</v>
      </c>
      <c r="B133" s="14" t="n">
        <v>193</v>
      </c>
      <c r="C133" s="14" t="n">
        <v>2</v>
      </c>
      <c r="D133" s="14" t="n">
        <v>2</v>
      </c>
      <c r="E133" s="14" t="s">
        <v>1114</v>
      </c>
      <c r="F133" s="14" t="s">
        <v>1115</v>
      </c>
    </row>
    <row r="134" customFormat="false" ht="14.5" hidden="false" customHeight="false" outlineLevel="0" collapsed="false">
      <c r="A134" s="14" t="s">
        <v>1116</v>
      </c>
      <c r="B134" s="14" t="n">
        <v>193</v>
      </c>
      <c r="C134" s="14" t="n">
        <v>3</v>
      </c>
      <c r="D134" s="14" t="n">
        <v>1</v>
      </c>
      <c r="E134" s="14" t="s">
        <v>1110</v>
      </c>
      <c r="F134" s="14" t="s">
        <v>1117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98"/>
  <sheetViews>
    <sheetView showFormulas="false" showGridLines="true" showRowColHeaders="true" showZeros="true" rightToLeft="false" tabSelected="false" showOutlineSymbols="true" defaultGridColor="true" view="normal" topLeftCell="A67" colorId="64" zoomScale="130" zoomScaleNormal="130" zoomScalePageLayoutView="100" workbookViewId="0">
      <selection pane="topLeft" activeCell="B75" activeCellId="1" sqref="G14:I22 B75"/>
    </sheetView>
  </sheetViews>
  <sheetFormatPr defaultColWidth="8.4296875" defaultRowHeight="14.5" zeroHeight="false" outlineLevelRow="0" outlineLevelCol="0"/>
  <cols>
    <col collapsed="false" customWidth="true" hidden="false" outlineLevel="0" max="1" min="1" style="0" width="8.27"/>
    <col collapsed="false" customWidth="true" hidden="false" outlineLevel="0" max="2" min="2" style="0" width="30.18"/>
    <col collapsed="false" customWidth="true" hidden="false" outlineLevel="0" max="3" min="3" style="0" width="12.17"/>
    <col collapsed="false" customWidth="true" hidden="false" outlineLevel="0" max="4" min="4" style="0" width="13.45"/>
    <col collapsed="false" customWidth="true" hidden="false" outlineLevel="0" max="7" min="7" style="0" width="22"/>
  </cols>
  <sheetData>
    <row r="1" customFormat="false" ht="14.5" hidden="false" customHeight="false" outlineLevel="0" collapsed="false">
      <c r="A1" s="14" t="s">
        <v>890</v>
      </c>
      <c r="B1" s="14" t="s">
        <v>893</v>
      </c>
      <c r="C1" s="14" t="s">
        <v>1118</v>
      </c>
      <c r="D1" s="14" t="s">
        <v>1119</v>
      </c>
      <c r="E1" s="14" t="s">
        <v>1120</v>
      </c>
      <c r="F1" s="14" t="s">
        <v>1121</v>
      </c>
      <c r="G1" s="14" t="s">
        <v>1122</v>
      </c>
    </row>
    <row r="2" customFormat="false" ht="14.5" hidden="false" customHeight="false" outlineLevel="0" collapsed="false">
      <c r="A2" s="14" t="n">
        <v>3</v>
      </c>
      <c r="B2" s="14" t="s">
        <v>896</v>
      </c>
      <c r="C2" s="14" t="n">
        <f aca="false">COUNTIFS(c1raw!B:B, A2, c1raw!$E:$E, B2)</f>
        <v>3</v>
      </c>
      <c r="D2" s="14" t="s">
        <v>1123</v>
      </c>
      <c r="E2" s="14" t="s">
        <v>1124</v>
      </c>
      <c r="F2" s="7" t="s">
        <v>1125</v>
      </c>
      <c r="G2" s="14" t="s">
        <v>897</v>
      </c>
    </row>
    <row r="3" customFormat="false" ht="14.5" hidden="false" customHeight="false" outlineLevel="0" collapsed="false">
      <c r="A3" s="14" t="n">
        <v>3</v>
      </c>
      <c r="B3" s="14" t="s">
        <v>898</v>
      </c>
      <c r="C3" s="14" t="n">
        <f aca="false">COUNTIFS(c1raw!B:B, A3, c1raw!$E:$E, B3)</f>
        <v>2</v>
      </c>
      <c r="D3" s="14" t="s">
        <v>1126</v>
      </c>
      <c r="E3" s="14" t="s">
        <v>1127</v>
      </c>
      <c r="F3" s="7" t="s">
        <v>1128</v>
      </c>
      <c r="G3" s="14" t="s">
        <v>899</v>
      </c>
    </row>
    <row r="4" customFormat="false" ht="14.5" hidden="false" customHeight="false" outlineLevel="0" collapsed="false">
      <c r="A4" s="14" t="n">
        <v>3</v>
      </c>
      <c r="B4" s="14" t="s">
        <v>907</v>
      </c>
      <c r="C4" s="14" t="n">
        <f aca="false">COUNTIFS(c1raw!B:B, A4, c1raw!$E:$E, B4)</f>
        <v>1</v>
      </c>
      <c r="D4" s="14" t="s">
        <v>1129</v>
      </c>
      <c r="E4" s="14" t="s">
        <v>1124</v>
      </c>
      <c r="F4" s="7" t="s">
        <v>1130</v>
      </c>
      <c r="G4" s="14" t="s">
        <v>908</v>
      </c>
    </row>
    <row r="5" customFormat="false" ht="14.5" hidden="false" customHeight="false" outlineLevel="0" collapsed="false">
      <c r="A5" s="14" t="n">
        <v>3</v>
      </c>
      <c r="B5" s="14" t="s">
        <v>903</v>
      </c>
      <c r="C5" s="14" t="n">
        <f aca="false">COUNTIFS(c1raw!B:B, A5, c1raw!$E:$E, B5)</f>
        <v>1</v>
      </c>
      <c r="D5" s="14" t="n">
        <f aca="false">TRUE()</f>
        <v>1</v>
      </c>
      <c r="E5" s="14" t="s">
        <v>1131</v>
      </c>
      <c r="F5" s="14" t="s">
        <v>1132</v>
      </c>
      <c r="G5" s="14" t="s">
        <v>904</v>
      </c>
    </row>
    <row r="6" customFormat="false" ht="14.5" hidden="false" customHeight="false" outlineLevel="0" collapsed="false">
      <c r="A6" s="14" t="n">
        <v>16</v>
      </c>
      <c r="B6" s="14" t="s">
        <v>910</v>
      </c>
      <c r="C6" s="14" t="n">
        <f aca="false">COUNTIFS(c1raw!B:B, A6, c1raw!$E:$E, B6)</f>
        <v>3</v>
      </c>
      <c r="D6" s="14" t="s">
        <v>1133</v>
      </c>
      <c r="E6" s="14" t="s">
        <v>1127</v>
      </c>
      <c r="F6" s="7" t="s">
        <v>1134</v>
      </c>
      <c r="G6" s="14" t="s">
        <v>911</v>
      </c>
    </row>
    <row r="7" customFormat="false" ht="14.5" hidden="false" customHeight="false" outlineLevel="0" collapsed="false">
      <c r="A7" s="14" t="n">
        <v>16</v>
      </c>
      <c r="B7" s="14" t="s">
        <v>912</v>
      </c>
      <c r="C7" s="14" t="n">
        <f aca="false">COUNTIFS(c1raw!B:B, A7, c1raw!$E:$E, B7)</f>
        <v>2</v>
      </c>
      <c r="D7" s="14" t="s">
        <v>1133</v>
      </c>
      <c r="E7" s="14" t="s">
        <v>1135</v>
      </c>
      <c r="F7" s="7" t="s">
        <v>1136</v>
      </c>
      <c r="G7" s="14" t="s">
        <v>913</v>
      </c>
    </row>
    <row r="8" customFormat="false" ht="14.5" hidden="false" customHeight="false" outlineLevel="0" collapsed="false">
      <c r="A8" s="14" t="n">
        <v>16</v>
      </c>
      <c r="B8" s="14" t="s">
        <v>916</v>
      </c>
      <c r="C8" s="14" t="n">
        <f aca="false">COUNTIFS(c1raw!B:B, A8, c1raw!$E:$E, B8)</f>
        <v>1</v>
      </c>
      <c r="D8" s="14" t="s">
        <v>1133</v>
      </c>
      <c r="E8" s="14" t="s">
        <v>1135</v>
      </c>
      <c r="F8" s="7" t="s">
        <v>1137</v>
      </c>
      <c r="G8" s="14" t="s">
        <v>917</v>
      </c>
    </row>
    <row r="9" customFormat="false" ht="14.5" hidden="false" customHeight="false" outlineLevel="0" collapsed="false">
      <c r="A9" s="14" t="n">
        <v>16</v>
      </c>
      <c r="B9" s="14" t="s">
        <v>919</v>
      </c>
      <c r="C9" s="14" t="n">
        <f aca="false">COUNTIFS(c1raw!B:B, A9, c1raw!$E:$E, B9)</f>
        <v>1</v>
      </c>
      <c r="D9" s="14" t="s">
        <v>1133</v>
      </c>
      <c r="E9" s="14" t="s">
        <v>1135</v>
      </c>
      <c r="F9" s="7" t="s">
        <v>1136</v>
      </c>
      <c r="G9" s="14" t="s">
        <v>920</v>
      </c>
    </row>
    <row r="10" customFormat="false" ht="14.5" hidden="false" customHeight="false" outlineLevel="0" collapsed="false">
      <c r="A10" s="14" t="n">
        <v>16</v>
      </c>
      <c r="B10" s="14" t="s">
        <v>921</v>
      </c>
      <c r="C10" s="14" t="n">
        <f aca="false">COUNTIFS(c1raw!B:B, A10, c1raw!$E:$E, B10)</f>
        <v>1</v>
      </c>
      <c r="D10" s="14" t="s">
        <v>1133</v>
      </c>
      <c r="E10" s="14" t="s">
        <v>1135</v>
      </c>
      <c r="F10" s="7" t="s">
        <v>1136</v>
      </c>
      <c r="G10" s="14" t="s">
        <v>922</v>
      </c>
    </row>
    <row r="11" customFormat="false" ht="14.5" hidden="false" customHeight="false" outlineLevel="0" collapsed="false">
      <c r="A11" s="14" t="n">
        <v>16</v>
      </c>
      <c r="B11" s="14" t="s">
        <v>923</v>
      </c>
      <c r="C11" s="14" t="n">
        <f aca="false">COUNTIFS(c1raw!B:B, A11, c1raw!$E:$E, B11)</f>
        <v>1</v>
      </c>
      <c r="D11" s="14" t="s">
        <v>1133</v>
      </c>
      <c r="E11" s="14" t="s">
        <v>1135</v>
      </c>
      <c r="F11" s="7" t="s">
        <v>1136</v>
      </c>
      <c r="G11" s="14" t="s">
        <v>924</v>
      </c>
    </row>
    <row r="12" customFormat="false" ht="14.5" hidden="false" customHeight="false" outlineLevel="0" collapsed="false">
      <c r="A12" s="14" t="n">
        <v>20</v>
      </c>
      <c r="B12" s="14" t="s">
        <v>928</v>
      </c>
      <c r="C12" s="14" t="n">
        <f aca="false">COUNTIFS(c1raw!B:B, A12, c1raw!$E:$E, B12)</f>
        <v>3</v>
      </c>
      <c r="D12" s="14" t="s">
        <v>1138</v>
      </c>
      <c r="E12" s="14" t="s">
        <v>1127</v>
      </c>
      <c r="F12" s="7" t="s">
        <v>1139</v>
      </c>
      <c r="G12" s="14" t="s">
        <v>929</v>
      </c>
    </row>
    <row r="13" customFormat="false" ht="14.5" hidden="false" customHeight="false" outlineLevel="0" collapsed="false">
      <c r="A13" s="14" t="n">
        <v>20</v>
      </c>
      <c r="B13" s="14" t="s">
        <v>932</v>
      </c>
      <c r="C13" s="14" t="n">
        <f aca="false">COUNTIFS(c1raw!B:B, A13, c1raw!$E:$E, B13)</f>
        <v>3</v>
      </c>
      <c r="D13" s="14" t="s">
        <v>1140</v>
      </c>
      <c r="E13" s="14" t="s">
        <v>1127</v>
      </c>
      <c r="F13" s="7" t="s">
        <v>1141</v>
      </c>
      <c r="G13" s="14" t="s">
        <v>933</v>
      </c>
    </row>
    <row r="14" customFormat="false" ht="14.5" hidden="false" customHeight="false" outlineLevel="0" collapsed="false">
      <c r="A14" s="14" t="n">
        <v>20</v>
      </c>
      <c r="B14" s="14" t="s">
        <v>934</v>
      </c>
      <c r="C14" s="14" t="n">
        <f aca="false">COUNTIFS(c1raw!B:B, A14, c1raw!$E:$E, B14)</f>
        <v>3</v>
      </c>
      <c r="D14" s="14" t="s">
        <v>1123</v>
      </c>
      <c r="E14" s="14" t="s">
        <v>1124</v>
      </c>
      <c r="F14" s="7" t="s">
        <v>1142</v>
      </c>
      <c r="G14" s="14" t="s">
        <v>935</v>
      </c>
    </row>
    <row r="15" customFormat="false" ht="14.5" hidden="false" customHeight="false" outlineLevel="0" collapsed="false">
      <c r="A15" s="14" t="n">
        <v>20</v>
      </c>
      <c r="B15" s="14" t="s">
        <v>942</v>
      </c>
      <c r="C15" s="14" t="n">
        <f aca="false">COUNTIFS(c1raw!B:B, A15, c1raw!$E:$E, B15)</f>
        <v>3</v>
      </c>
      <c r="D15" s="14" t="n">
        <f aca="false">TRUE()</f>
        <v>1</v>
      </c>
      <c r="E15" s="14" t="s">
        <v>1131</v>
      </c>
      <c r="F15" s="14" t="s">
        <v>1132</v>
      </c>
      <c r="G15" s="14" t="s">
        <v>943</v>
      </c>
    </row>
    <row r="16" customFormat="false" ht="14.5" hidden="false" customHeight="false" outlineLevel="0" collapsed="false">
      <c r="A16" s="14" t="n">
        <v>20</v>
      </c>
      <c r="B16" s="14" t="s">
        <v>944</v>
      </c>
      <c r="C16" s="14" t="n">
        <f aca="false">COUNTIFS(c1raw!B:B, A16, c1raw!$E:$E, B16)</f>
        <v>3</v>
      </c>
      <c r="D16" s="14" t="n">
        <f aca="false">TRUE()</f>
        <v>1</v>
      </c>
      <c r="E16" s="14" t="s">
        <v>1131</v>
      </c>
      <c r="F16" s="14" t="s">
        <v>1132</v>
      </c>
      <c r="G16" s="14" t="s">
        <v>945</v>
      </c>
    </row>
    <row r="17" customFormat="false" ht="14.5" hidden="false" customHeight="false" outlineLevel="0" collapsed="false">
      <c r="A17" s="14" t="n">
        <v>20</v>
      </c>
      <c r="B17" s="14" t="s">
        <v>930</v>
      </c>
      <c r="C17" s="14" t="n">
        <f aca="false">COUNTIFS(c1raw!B:B, A17, c1raw!$E:$E, B17)</f>
        <v>2</v>
      </c>
      <c r="D17" s="14" t="s">
        <v>1143</v>
      </c>
      <c r="E17" s="14" t="s">
        <v>1124</v>
      </c>
      <c r="F17" s="7" t="s">
        <v>1144</v>
      </c>
      <c r="G17" s="14" t="s">
        <v>931</v>
      </c>
    </row>
    <row r="18" customFormat="false" ht="14.5" hidden="false" customHeight="false" outlineLevel="0" collapsed="false">
      <c r="A18" s="14" t="n">
        <v>20</v>
      </c>
      <c r="B18" s="14" t="s">
        <v>936</v>
      </c>
      <c r="C18" s="14" t="n">
        <f aca="false">COUNTIFS(c1raw!B:B, A18, c1raw!$E:$E, B18)</f>
        <v>2</v>
      </c>
      <c r="D18" s="14" t="n">
        <f aca="false">TRUE()</f>
        <v>1</v>
      </c>
      <c r="E18" s="14" t="s">
        <v>1131</v>
      </c>
      <c r="F18" s="14" t="s">
        <v>1132</v>
      </c>
      <c r="G18" s="14" t="s">
        <v>937</v>
      </c>
    </row>
    <row r="19" customFormat="false" ht="14.5" hidden="false" customHeight="false" outlineLevel="0" collapsed="false">
      <c r="A19" s="14" t="n">
        <v>20</v>
      </c>
      <c r="B19" s="14" t="s">
        <v>938</v>
      </c>
      <c r="C19" s="14" t="n">
        <f aca="false">COUNTIFS(c1raw!B:B, A19, c1raw!$E:$E, B19)</f>
        <v>2</v>
      </c>
      <c r="D19" s="14" t="n">
        <f aca="false">TRUE()</f>
        <v>1</v>
      </c>
      <c r="E19" s="14" t="s">
        <v>1131</v>
      </c>
      <c r="F19" s="14" t="s">
        <v>1132</v>
      </c>
      <c r="G19" s="14" t="s">
        <v>939</v>
      </c>
    </row>
    <row r="20" customFormat="false" ht="14.5" hidden="false" customHeight="false" outlineLevel="0" collapsed="false">
      <c r="A20" s="14" t="n">
        <v>20</v>
      </c>
      <c r="B20" s="14" t="s">
        <v>940</v>
      </c>
      <c r="C20" s="14" t="n">
        <f aca="false">COUNTIFS(c1raw!B:B, A20, c1raw!$E:$E, B20)</f>
        <v>2</v>
      </c>
      <c r="D20" s="14" t="n">
        <f aca="false">TRUE()</f>
        <v>1</v>
      </c>
      <c r="E20" s="14" t="s">
        <v>1131</v>
      </c>
      <c r="F20" s="14" t="s">
        <v>1132</v>
      </c>
      <c r="G20" s="14" t="s">
        <v>941</v>
      </c>
    </row>
    <row r="21" customFormat="false" ht="14.5" hidden="false" customHeight="false" outlineLevel="0" collapsed="false">
      <c r="A21" s="14" t="n">
        <v>20</v>
      </c>
      <c r="B21" s="14" t="s">
        <v>946</v>
      </c>
      <c r="C21" s="14" t="n">
        <f aca="false">COUNTIFS(c1raw!B:B, A21, c1raw!$E:$E, B21)</f>
        <v>2</v>
      </c>
      <c r="D21" s="14" t="n">
        <f aca="false">TRUE()</f>
        <v>1</v>
      </c>
      <c r="E21" s="14" t="s">
        <v>1131</v>
      </c>
      <c r="F21" s="14" t="s">
        <v>1132</v>
      </c>
      <c r="G21" s="14" t="s">
        <v>947</v>
      </c>
    </row>
    <row r="22" customFormat="false" ht="14.5" hidden="false" customHeight="false" outlineLevel="0" collapsed="false">
      <c r="A22" s="14" t="n">
        <v>20</v>
      </c>
      <c r="B22" s="14" t="s">
        <v>948</v>
      </c>
      <c r="C22" s="14" t="n">
        <f aca="false">COUNTIFS(c1raw!B:B, A22, c1raw!$E:$E, B22)</f>
        <v>2</v>
      </c>
      <c r="D22" s="14" t="n">
        <f aca="false">TRUE()</f>
        <v>1</v>
      </c>
      <c r="E22" s="14" t="s">
        <v>1131</v>
      </c>
      <c r="F22" s="14" t="s">
        <v>1132</v>
      </c>
      <c r="G22" s="14" t="s">
        <v>949</v>
      </c>
    </row>
    <row r="23" customFormat="false" ht="14.5" hidden="false" customHeight="false" outlineLevel="0" collapsed="false">
      <c r="A23" s="14" t="n">
        <v>20</v>
      </c>
      <c r="B23" s="14" t="s">
        <v>970</v>
      </c>
      <c r="C23" s="14" t="n">
        <f aca="false">COUNTIFS(c1raw!B:B, A23, c1raw!$E:$E, B23)</f>
        <v>1</v>
      </c>
      <c r="D23" s="14" t="n">
        <f aca="false">TRUE()</f>
        <v>1</v>
      </c>
      <c r="E23" s="14" t="s">
        <v>1131</v>
      </c>
      <c r="F23" s="14" t="s">
        <v>1132</v>
      </c>
      <c r="G23" s="14" t="s">
        <v>971</v>
      </c>
    </row>
    <row r="24" customFormat="false" ht="14.5" hidden="false" customHeight="false" outlineLevel="0" collapsed="false">
      <c r="A24" s="14" t="n">
        <v>20</v>
      </c>
      <c r="B24" s="14" t="s">
        <v>972</v>
      </c>
      <c r="C24" s="14" t="n">
        <f aca="false">COUNTIFS(c1raw!B:B, A24, c1raw!$E:$E, B24)</f>
        <v>1</v>
      </c>
      <c r="D24" s="14" t="n">
        <f aca="false">FALSE()</f>
        <v>0</v>
      </c>
      <c r="E24" s="14"/>
      <c r="F24" s="14" t="s">
        <v>1145</v>
      </c>
      <c r="G24" s="14" t="s">
        <v>973</v>
      </c>
    </row>
    <row r="25" customFormat="false" ht="14.5" hidden="false" customHeight="false" outlineLevel="0" collapsed="false">
      <c r="A25" s="14" t="n">
        <v>20</v>
      </c>
      <c r="B25" s="14" t="s">
        <v>974</v>
      </c>
      <c r="C25" s="14" t="n">
        <f aca="false">COUNTIFS(c1raw!B:B, A25, c1raw!$E:$E, B25)</f>
        <v>1</v>
      </c>
      <c r="D25" s="14" t="n">
        <f aca="false">FALSE()</f>
        <v>0</v>
      </c>
      <c r="E25" s="14"/>
      <c r="F25" s="14" t="s">
        <v>1145</v>
      </c>
      <c r="G25" s="14" t="s">
        <v>975</v>
      </c>
    </row>
    <row r="26" customFormat="false" ht="14.5" hidden="false" customHeight="false" outlineLevel="0" collapsed="false">
      <c r="A26" s="14" t="n">
        <v>20</v>
      </c>
      <c r="B26" s="14" t="s">
        <v>955</v>
      </c>
      <c r="C26" s="14" t="n">
        <f aca="false">COUNTIFS(c1raw!B:B, A26, c1raw!$E:$E, B26)</f>
        <v>1</v>
      </c>
      <c r="D26" s="14" t="n">
        <f aca="false">TRUE()</f>
        <v>1</v>
      </c>
      <c r="E26" s="14" t="s">
        <v>1131</v>
      </c>
      <c r="F26" s="14" t="s">
        <v>1132</v>
      </c>
      <c r="G26" s="14" t="s">
        <v>956</v>
      </c>
    </row>
    <row r="27" customFormat="false" ht="14.5" hidden="false" customHeight="false" outlineLevel="0" collapsed="false">
      <c r="A27" s="14" t="n">
        <v>20</v>
      </c>
      <c r="B27" s="14" t="s">
        <v>957</v>
      </c>
      <c r="C27" s="14" t="n">
        <f aca="false">COUNTIFS(c1raw!B:B, A27, c1raw!$E:$E, B27)</f>
        <v>1</v>
      </c>
      <c r="D27" s="14" t="n">
        <f aca="false">TRUE()</f>
        <v>1</v>
      </c>
      <c r="E27" s="14" t="s">
        <v>1131</v>
      </c>
      <c r="F27" s="14" t="s">
        <v>1132</v>
      </c>
      <c r="G27" s="14" t="s">
        <v>958</v>
      </c>
    </row>
    <row r="28" customFormat="false" ht="14.5" hidden="false" customHeight="false" outlineLevel="0" collapsed="false">
      <c r="A28" s="14" t="n">
        <v>23</v>
      </c>
      <c r="B28" s="14" t="s">
        <v>979</v>
      </c>
      <c r="C28" s="14" t="n">
        <f aca="false">COUNTIFS(c1raw!B:B, A28, c1raw!$E:$E, B28)</f>
        <v>1</v>
      </c>
      <c r="D28" s="14" t="n">
        <f aca="false">TRUE()</f>
        <v>1</v>
      </c>
      <c r="E28" s="14" t="s">
        <v>1131</v>
      </c>
      <c r="F28" s="14" t="s">
        <v>1132</v>
      </c>
      <c r="G28" s="14" t="s">
        <v>980</v>
      </c>
    </row>
    <row r="29" customFormat="false" ht="14.5" hidden="false" customHeight="false" outlineLevel="0" collapsed="false">
      <c r="A29" s="14" t="n">
        <v>23</v>
      </c>
      <c r="B29" s="14" t="s">
        <v>981</v>
      </c>
      <c r="C29" s="14" t="n">
        <f aca="false">COUNTIFS(c1raw!B:B, A29, c1raw!$E:$E, B29)</f>
        <v>2</v>
      </c>
      <c r="D29" s="14" t="s">
        <v>1146</v>
      </c>
      <c r="E29" s="14" t="s">
        <v>1127</v>
      </c>
      <c r="F29" s="7" t="s">
        <v>1147</v>
      </c>
      <c r="G29" s="14" t="s">
        <v>982</v>
      </c>
    </row>
    <row r="30" customFormat="false" ht="14.5" hidden="false" customHeight="false" outlineLevel="0" collapsed="false">
      <c r="A30" s="14" t="n">
        <v>23</v>
      </c>
      <c r="B30" s="14" t="s">
        <v>983</v>
      </c>
      <c r="C30" s="14" t="n">
        <f aca="false">COUNTIFS(c1raw!B:B, A30, c1raw!$E:$E, B30)</f>
        <v>3</v>
      </c>
      <c r="D30" s="14" t="n">
        <f aca="false">TRUE()</f>
        <v>1</v>
      </c>
      <c r="E30" s="14" t="s">
        <v>1131</v>
      </c>
      <c r="F30" s="14" t="s">
        <v>1132</v>
      </c>
      <c r="G30" s="14" t="s">
        <v>984</v>
      </c>
    </row>
    <row r="31" customFormat="false" ht="14.5" hidden="false" customHeight="false" outlineLevel="0" collapsed="false">
      <c r="A31" s="5" t="n">
        <v>42</v>
      </c>
      <c r="B31" s="5" t="s">
        <v>995</v>
      </c>
      <c r="C31" s="14" t="n">
        <f aca="false">COUNTIFS(c1raw!B:B, A31, c1raw!$E:$E, B31)</f>
        <v>1</v>
      </c>
      <c r="D31" s="14" t="n">
        <f aca="false">TRUE()</f>
        <v>1</v>
      </c>
      <c r="E31" s="14" t="s">
        <v>1131</v>
      </c>
      <c r="F31" s="14" t="s">
        <v>1132</v>
      </c>
      <c r="G31" s="14" t="str">
        <f aca="false" t="array" ref="G31:G31">INDEX(c1raw!$F:$F, MATCH(1, (c1raw!B:B=A31) * (c1raw!$E:$E=B31), 0))</f>
        <v>In the _shareMochi function, the smart contract fetches external data from the Mochi token balance to distribute Mochi to vMochi Vault and veCRV Holders. Although there isn't a direct price oracle manipulation in this function, if the price oracle is manipulated in the _buyMochi function, it will affect the Mochi token balance and the amounts distributed in this function. This can lead to incorrect distribution of rewards and losses for the participants in the smart contract.</v>
      </c>
    </row>
    <row r="32" customFormat="false" ht="14.5" hidden="false" customHeight="false" outlineLevel="0" collapsed="false">
      <c r="A32" s="5" t="n">
        <v>42</v>
      </c>
      <c r="B32" s="5" t="s">
        <v>999</v>
      </c>
      <c r="C32" s="14" t="n">
        <f aca="false">COUNTIFS(c1raw!B:B, A32, c1raw!$E:$E, B32)</f>
        <v>1</v>
      </c>
      <c r="D32" s="14" t="n">
        <f aca="false">TRUE()</f>
        <v>1</v>
      </c>
      <c r="E32" s="14" t="s">
        <v>1131</v>
      </c>
      <c r="F32" s="14" t="s">
        <v>1132</v>
      </c>
      <c r="G32" s="14" t="str">
        <f aca="false" t="array" ref="G32:G32">INDEX(c1raw!$F:$F, MATCH(1, (c1raw!B:B=A32) * (c1raw!$E:$E=B32), 0))</f>
        <v>In the _buyCRV function, the smart contract fetches external data from the Uniswap router to swap USDM for CRV tokens. Since Uniswap uses an automated market maker model, it is vulnerable to price manipulation attacks. An attacker can manipulate the price oracle by trading large volumes of tokens right before or after this function is called, which can lead to incorrect token prices and affect the outcome of the swap.</v>
      </c>
    </row>
    <row r="33" customFormat="false" ht="14.5" hidden="false" customHeight="false" outlineLevel="0" collapsed="false">
      <c r="A33" s="14" t="n">
        <v>42</v>
      </c>
      <c r="B33" s="14" t="s">
        <v>991</v>
      </c>
      <c r="C33" s="14" t="n">
        <f aca="false">COUNTIFS(c1raw!B:B, A33, c1raw!$E:$E, B33)</f>
        <v>4</v>
      </c>
      <c r="D33" s="14" t="n">
        <f aca="false">TRUE()</f>
        <v>1</v>
      </c>
      <c r="E33" s="14" t="s">
        <v>1131</v>
      </c>
      <c r="F33" s="14" t="s">
        <v>1132</v>
      </c>
      <c r="G33" s="14" t="s">
        <v>1004</v>
      </c>
    </row>
    <row r="34" customFormat="false" ht="14.5" hidden="false" customHeight="false" outlineLevel="0" collapsed="false">
      <c r="A34" s="14" t="n">
        <v>42</v>
      </c>
      <c r="B34" s="14" t="s">
        <v>997</v>
      </c>
      <c r="C34" s="14" t="n">
        <f aca="false">COUNTIFS(c1raw!B:B, A34, c1raw!$E:$E, B34)</f>
        <v>3</v>
      </c>
      <c r="D34" s="14" t="n">
        <f aca="false">TRUE()</f>
        <v>1</v>
      </c>
      <c r="E34" s="14" t="s">
        <v>1131</v>
      </c>
      <c r="F34" s="14" t="s">
        <v>1132</v>
      </c>
      <c r="G34" s="14" t="s">
        <v>1006</v>
      </c>
    </row>
    <row r="35" customFormat="false" ht="14.5" hidden="false" customHeight="false" outlineLevel="0" collapsed="false">
      <c r="A35" s="14" t="n">
        <v>42</v>
      </c>
      <c r="B35" s="14" t="s">
        <v>1001</v>
      </c>
      <c r="C35" s="14" t="n">
        <f aca="false">COUNTIFS(c1raw!B:B, A35, c1raw!$E:$E, B35)</f>
        <v>3</v>
      </c>
      <c r="D35" s="14" t="n">
        <f aca="false">TRUE()</f>
        <v>1</v>
      </c>
      <c r="E35" s="14" t="s">
        <v>1131</v>
      </c>
      <c r="F35" s="14" t="s">
        <v>1132</v>
      </c>
      <c r="G35" s="14" t="s">
        <v>1007</v>
      </c>
    </row>
    <row r="36" customFormat="false" ht="14.5" hidden="false" customHeight="false" outlineLevel="0" collapsed="false">
      <c r="A36" s="14" t="n">
        <v>42</v>
      </c>
      <c r="B36" s="14" t="s">
        <v>993</v>
      </c>
      <c r="C36" s="14" t="n">
        <f aca="false">COUNTIFS(c1raw!B:B, A36, c1raw!$E:$E, B36)</f>
        <v>2</v>
      </c>
      <c r="D36" s="14" t="n">
        <f aca="false">TRUE()</f>
        <v>1</v>
      </c>
      <c r="E36" s="14" t="s">
        <v>1131</v>
      </c>
      <c r="F36" s="14" t="s">
        <v>1132</v>
      </c>
      <c r="G36" s="14" t="s">
        <v>1010</v>
      </c>
    </row>
    <row r="37" customFormat="false" ht="14.5" hidden="false" customHeight="false" outlineLevel="0" collapsed="false">
      <c r="A37" s="14" t="n">
        <v>52</v>
      </c>
      <c r="B37" s="14" t="s">
        <v>1014</v>
      </c>
      <c r="C37" s="14" t="n">
        <f aca="false">COUNTIFS(c1raw!B:B, A37, c1raw!$E:$E, B37)</f>
        <v>5</v>
      </c>
      <c r="D37" s="14" t="n">
        <f aca="false">TRUE()</f>
        <v>1</v>
      </c>
      <c r="E37" s="14" t="s">
        <v>1131</v>
      </c>
      <c r="F37" s="14" t="s">
        <v>1132</v>
      </c>
      <c r="G37" s="14" t="s">
        <v>1015</v>
      </c>
    </row>
    <row r="38" customFormat="false" ht="14.5" hidden="false" customHeight="false" outlineLevel="0" collapsed="false">
      <c r="A38" s="14" t="n">
        <v>52</v>
      </c>
      <c r="B38" s="14" t="s">
        <v>1025</v>
      </c>
      <c r="C38" s="14" t="n">
        <f aca="false">COUNTIFS(c1raw!B:B, A38, c1raw!$E:$E, B38)</f>
        <v>2</v>
      </c>
      <c r="D38" s="14" t="n">
        <f aca="false">TRUE()</f>
        <v>1</v>
      </c>
      <c r="E38" s="14" t="s">
        <v>1131</v>
      </c>
      <c r="F38" s="14" t="s">
        <v>1132</v>
      </c>
      <c r="G38" s="14" t="s">
        <v>1026</v>
      </c>
    </row>
    <row r="39" customFormat="false" ht="14.5" hidden="false" customHeight="false" outlineLevel="0" collapsed="false">
      <c r="A39" s="14" t="n">
        <v>52</v>
      </c>
      <c r="B39" s="14" t="s">
        <v>1027</v>
      </c>
      <c r="C39" s="14" t="n">
        <f aca="false">COUNTIFS(c1raw!B:B, A39, c1raw!$E:$E, B39)</f>
        <v>2</v>
      </c>
      <c r="D39" s="14" t="n">
        <f aca="false">TRUE()</f>
        <v>1</v>
      </c>
      <c r="E39" s="14" t="s">
        <v>1131</v>
      </c>
      <c r="F39" s="14" t="s">
        <v>1132</v>
      </c>
      <c r="G39" s="14" t="s">
        <v>1028</v>
      </c>
    </row>
    <row r="40" customFormat="false" ht="14.5" hidden="false" customHeight="false" outlineLevel="0" collapsed="false">
      <c r="A40" s="14" t="n">
        <v>52</v>
      </c>
      <c r="B40" s="14" t="s">
        <v>928</v>
      </c>
      <c r="C40" s="14" t="n">
        <f aca="false">COUNTIFS(c1raw!B:B, A40, c1raw!$E:$E, B40)</f>
        <v>2</v>
      </c>
      <c r="D40" s="14" t="s">
        <v>1133</v>
      </c>
      <c r="E40" s="14" t="s">
        <v>1127</v>
      </c>
      <c r="F40" s="7" t="s">
        <v>1148</v>
      </c>
      <c r="G40" s="14" t="s">
        <v>1018</v>
      </c>
    </row>
    <row r="41" customFormat="false" ht="14.5" hidden="false" customHeight="false" outlineLevel="0" collapsed="false">
      <c r="A41" s="14" t="n">
        <v>52</v>
      </c>
      <c r="B41" s="14" t="s">
        <v>930</v>
      </c>
      <c r="C41" s="14" t="n">
        <f aca="false">COUNTIFS(c1raw!B:B, A41, c1raw!$E:$E, B41)</f>
        <v>2</v>
      </c>
      <c r="D41" s="14" t="s">
        <v>1133</v>
      </c>
      <c r="E41" s="14" t="s">
        <v>1127</v>
      </c>
      <c r="F41" s="7" t="s">
        <v>1148</v>
      </c>
      <c r="G41" s="14" t="s">
        <v>1019</v>
      </c>
    </row>
    <row r="42" customFormat="false" ht="14.5" hidden="false" customHeight="false" outlineLevel="0" collapsed="false">
      <c r="A42" s="14" t="n">
        <v>52</v>
      </c>
      <c r="B42" s="14" t="s">
        <v>1030</v>
      </c>
      <c r="C42" s="14" t="n">
        <f aca="false">COUNTIFS(c1raw!B:B, A42, c1raw!$E:$E, B42)</f>
        <v>1</v>
      </c>
      <c r="D42" s="14" t="n">
        <f aca="false">FALSE()</f>
        <v>0</v>
      </c>
      <c r="E42" s="14"/>
      <c r="F42" s="14" t="s">
        <v>1149</v>
      </c>
      <c r="G42" s="14" t="s">
        <v>1031</v>
      </c>
    </row>
    <row r="43" customFormat="false" ht="14.5" hidden="false" customHeight="false" outlineLevel="0" collapsed="false">
      <c r="A43" s="14" t="n">
        <v>52</v>
      </c>
      <c r="B43" s="14" t="s">
        <v>1020</v>
      </c>
      <c r="C43" s="14" t="n">
        <f aca="false">COUNTIFS(c1raw!B:B, A43, c1raw!$E:$E, B43)</f>
        <v>1</v>
      </c>
      <c r="D43" s="14" t="n">
        <f aca="false">TRUE()</f>
        <v>1</v>
      </c>
      <c r="E43" s="14" t="s">
        <v>1131</v>
      </c>
      <c r="F43" s="14" t="s">
        <v>1150</v>
      </c>
      <c r="G43" s="14" t="s">
        <v>1021</v>
      </c>
    </row>
    <row r="44" customFormat="false" ht="14.5" hidden="false" customHeight="false" outlineLevel="0" collapsed="false">
      <c r="A44" s="14" t="n">
        <v>52</v>
      </c>
      <c r="B44" s="14" t="s">
        <v>1022</v>
      </c>
      <c r="C44" s="14" t="n">
        <f aca="false">COUNTIFS(c1raw!B:B, A44, c1raw!$E:$E, B44)</f>
        <v>1</v>
      </c>
      <c r="D44" s="14" t="n">
        <f aca="false">TRUE()</f>
        <v>1</v>
      </c>
      <c r="E44" s="14" t="s">
        <v>1131</v>
      </c>
      <c r="F44" s="14" t="s">
        <v>1150</v>
      </c>
      <c r="G44" s="14" t="s">
        <v>1023</v>
      </c>
    </row>
    <row r="45" customFormat="false" ht="14.5" hidden="false" customHeight="false" outlineLevel="0" collapsed="false">
      <c r="A45" s="14" t="n">
        <v>67</v>
      </c>
      <c r="B45" s="14" t="s">
        <v>1039</v>
      </c>
      <c r="C45" s="14" t="n">
        <f aca="false">COUNTIFS(c1raw!B:B, A45, c1raw!$E:$E, B45)</f>
        <v>3</v>
      </c>
      <c r="D45" s="14" t="n">
        <f aca="false">TRUE()</f>
        <v>1</v>
      </c>
      <c r="E45" s="14" t="s">
        <v>1131</v>
      </c>
      <c r="F45" s="14" t="s">
        <v>1132</v>
      </c>
      <c r="G45" s="14" t="s">
        <v>1040</v>
      </c>
    </row>
    <row r="46" customFormat="false" ht="14.5" hidden="false" customHeight="false" outlineLevel="0" collapsed="false">
      <c r="A46" s="14" t="n">
        <v>67</v>
      </c>
      <c r="B46" s="14" t="s">
        <v>1041</v>
      </c>
      <c r="C46" s="14" t="n">
        <f aca="false">COUNTIFS(c1raw!B:B, A46, c1raw!$E:$E, B46)</f>
        <v>1</v>
      </c>
      <c r="D46" s="14" t="n">
        <f aca="false">TRUE()</f>
        <v>1</v>
      </c>
      <c r="E46" s="14" t="s">
        <v>1131</v>
      </c>
      <c r="F46" s="14" t="s">
        <v>1132</v>
      </c>
      <c r="G46" s="14" t="s">
        <v>1042</v>
      </c>
    </row>
    <row r="47" customFormat="false" ht="14.5" hidden="false" customHeight="false" outlineLevel="0" collapsed="false">
      <c r="A47" s="14" t="n">
        <v>67</v>
      </c>
      <c r="B47" s="14" t="s">
        <v>1043</v>
      </c>
      <c r="C47" s="14" t="n">
        <f aca="false">COUNTIFS(c1raw!B:B, A47, c1raw!$E:$E, B47)</f>
        <v>1</v>
      </c>
      <c r="D47" s="14" t="n">
        <f aca="false">TRUE()</f>
        <v>1</v>
      </c>
      <c r="E47" s="14" t="s">
        <v>1131</v>
      </c>
      <c r="F47" s="14" t="s">
        <v>1132</v>
      </c>
      <c r="G47" s="14" t="s">
        <v>1044</v>
      </c>
    </row>
    <row r="48" customFormat="false" ht="14.5" hidden="false" customHeight="false" outlineLevel="0" collapsed="false">
      <c r="A48" s="14" t="n">
        <v>70</v>
      </c>
      <c r="B48" s="14" t="s">
        <v>1050</v>
      </c>
      <c r="C48" s="14" t="n">
        <f aca="false">COUNTIFS(c1raw!B:B, A48, c1raw!$E:$E, B48)</f>
        <v>3</v>
      </c>
      <c r="D48" s="14" t="n">
        <f aca="false">TRUE()</f>
        <v>1</v>
      </c>
      <c r="E48" s="14" t="s">
        <v>1131</v>
      </c>
      <c r="F48" s="14" t="s">
        <v>1151</v>
      </c>
      <c r="G48" s="14" t="s">
        <v>1051</v>
      </c>
    </row>
    <row r="49" customFormat="false" ht="14.5" hidden="false" customHeight="false" outlineLevel="0" collapsed="false">
      <c r="A49" s="14" t="n">
        <v>70</v>
      </c>
      <c r="B49" s="14" t="s">
        <v>928</v>
      </c>
      <c r="C49" s="14" t="n">
        <f aca="false">COUNTIFS(c1raw!B:B, A49, c1raw!$E:$E, B49)</f>
        <v>3</v>
      </c>
      <c r="D49" s="14" t="n">
        <f aca="false">TRUE()</f>
        <v>1</v>
      </c>
      <c r="E49" s="14" t="s">
        <v>1131</v>
      </c>
      <c r="F49" s="14" t="s">
        <v>1152</v>
      </c>
      <c r="G49" s="14" t="s">
        <v>1052</v>
      </c>
    </row>
    <row r="50" customFormat="false" ht="14.5" hidden="false" customHeight="false" outlineLevel="0" collapsed="false">
      <c r="A50" s="14" t="n">
        <v>70</v>
      </c>
      <c r="B50" s="14" t="s">
        <v>930</v>
      </c>
      <c r="C50" s="14" t="n">
        <f aca="false">COUNTIFS(c1raw!B:B, A50, c1raw!$E:$E, B50)</f>
        <v>3</v>
      </c>
      <c r="D50" s="14" t="n">
        <f aca="false">TRUE()</f>
        <v>1</v>
      </c>
      <c r="E50" s="14" t="s">
        <v>1131</v>
      </c>
      <c r="F50" s="14" t="s">
        <v>1152</v>
      </c>
      <c r="G50" s="14" t="s">
        <v>1053</v>
      </c>
    </row>
    <row r="51" customFormat="false" ht="14.5" hidden="false" customHeight="false" outlineLevel="0" collapsed="false">
      <c r="A51" s="14" t="n">
        <v>70</v>
      </c>
      <c r="B51" s="14" t="s">
        <v>1020</v>
      </c>
      <c r="C51" s="14" t="n">
        <f aca="false">COUNTIFS(c1raw!B:B, A51, c1raw!$E:$E, B51)</f>
        <v>3</v>
      </c>
      <c r="D51" s="14" t="n">
        <f aca="false">TRUE()</f>
        <v>1</v>
      </c>
      <c r="E51" s="14" t="s">
        <v>1131</v>
      </c>
      <c r="F51" s="14" t="s">
        <v>1152</v>
      </c>
      <c r="G51" s="14" t="s">
        <v>1054</v>
      </c>
    </row>
    <row r="52" customFormat="false" ht="14.5" hidden="false" customHeight="false" outlineLevel="0" collapsed="false">
      <c r="A52" s="14" t="n">
        <v>70</v>
      </c>
      <c r="B52" s="14" t="s">
        <v>1022</v>
      </c>
      <c r="C52" s="14" t="n">
        <f aca="false">COUNTIFS(c1raw!B:B, A52, c1raw!$E:$E, B52)</f>
        <v>3</v>
      </c>
      <c r="D52" s="14" t="n">
        <f aca="false">TRUE()</f>
        <v>1</v>
      </c>
      <c r="E52" s="14" t="s">
        <v>1131</v>
      </c>
      <c r="F52" s="14" t="s">
        <v>1152</v>
      </c>
      <c r="G52" s="14" t="s">
        <v>1055</v>
      </c>
    </row>
    <row r="53" customFormat="false" ht="14.5" hidden="false" customHeight="false" outlineLevel="0" collapsed="false">
      <c r="A53" s="14" t="n">
        <v>70</v>
      </c>
      <c r="B53" s="14" t="s">
        <v>1056</v>
      </c>
      <c r="C53" s="14" t="n">
        <f aca="false">COUNTIFS(c1raw!B:B, A53, c1raw!$E:$E, B53)</f>
        <v>3</v>
      </c>
      <c r="D53" s="14" t="n">
        <f aca="false">TRUE()</f>
        <v>1</v>
      </c>
      <c r="E53" s="14" t="s">
        <v>1131</v>
      </c>
      <c r="F53" s="14" t="s">
        <v>1132</v>
      </c>
      <c r="G53" s="14" t="s">
        <v>1057</v>
      </c>
    </row>
    <row r="54" customFormat="false" ht="14.5" hidden="false" customHeight="false" outlineLevel="0" collapsed="false">
      <c r="A54" s="14" t="n">
        <v>70</v>
      </c>
      <c r="B54" s="14" t="s">
        <v>1058</v>
      </c>
      <c r="C54" s="14" t="n">
        <f aca="false">COUNTIFS(c1raw!B:B, A54, c1raw!$E:$E, B54)</f>
        <v>3</v>
      </c>
      <c r="D54" s="14" t="n">
        <f aca="false">TRUE()</f>
        <v>1</v>
      </c>
      <c r="E54" s="14" t="s">
        <v>1131</v>
      </c>
      <c r="F54" s="14" t="s">
        <v>1132</v>
      </c>
      <c r="G54" s="14" t="s">
        <v>1059</v>
      </c>
    </row>
    <row r="55" customFormat="false" ht="14.5" hidden="false" customHeight="false" outlineLevel="0" collapsed="false">
      <c r="A55" s="14" t="n">
        <v>78</v>
      </c>
      <c r="B55" s="14" t="s">
        <v>1077</v>
      </c>
      <c r="C55" s="14" t="n">
        <f aca="false">COUNTIFS(c1raw!B:B, A55, c1raw!$E:$E, B55)</f>
        <v>3</v>
      </c>
      <c r="D55" s="14" t="s">
        <v>1140</v>
      </c>
      <c r="E55" s="14" t="s">
        <v>1127</v>
      </c>
      <c r="F55" s="7" t="s">
        <v>1153</v>
      </c>
      <c r="G55" s="14" t="s">
        <v>1078</v>
      </c>
    </row>
    <row r="56" customFormat="false" ht="14.5" hidden="false" customHeight="false" outlineLevel="0" collapsed="false">
      <c r="A56" s="14" t="n">
        <v>78</v>
      </c>
      <c r="B56" s="14" t="s">
        <v>1079</v>
      </c>
      <c r="C56" s="14" t="n">
        <f aca="false">COUNTIFS(c1raw!B:B, A56, c1raw!$E:$E, B56)</f>
        <v>3</v>
      </c>
      <c r="D56" s="14" t="s">
        <v>1154</v>
      </c>
      <c r="E56" s="14" t="s">
        <v>1127</v>
      </c>
      <c r="F56" s="7" t="s">
        <v>1155</v>
      </c>
      <c r="G56" s="14" t="s">
        <v>1080</v>
      </c>
    </row>
    <row r="57" customFormat="false" ht="14.5" hidden="false" customHeight="false" outlineLevel="0" collapsed="false">
      <c r="A57" s="14" t="n">
        <v>78</v>
      </c>
      <c r="B57" s="14" t="s">
        <v>1081</v>
      </c>
      <c r="C57" s="14" t="n">
        <f aca="false">COUNTIFS(c1raw!B:B, A57, c1raw!$E:$E, B57)</f>
        <v>3</v>
      </c>
      <c r="D57" s="14" t="s">
        <v>1154</v>
      </c>
      <c r="E57" s="14" t="s">
        <v>1127</v>
      </c>
      <c r="F57" s="7" t="s">
        <v>1155</v>
      </c>
      <c r="G57" s="14" t="s">
        <v>1082</v>
      </c>
    </row>
    <row r="58" customFormat="false" ht="14.5" hidden="false" customHeight="false" outlineLevel="0" collapsed="false">
      <c r="A58" s="14" t="n">
        <v>83</v>
      </c>
      <c r="B58" s="14" t="s">
        <v>1094</v>
      </c>
      <c r="C58" s="14" t="n">
        <f aca="false">COUNTIFS(c1raw!B:B, A58, c1raw!$E:$E, B58)</f>
        <v>3</v>
      </c>
      <c r="D58" s="14" t="n">
        <f aca="false">TRUE()</f>
        <v>1</v>
      </c>
      <c r="E58" s="14" t="s">
        <v>1156</v>
      </c>
      <c r="F58" s="14"/>
      <c r="G58" s="14" t="s">
        <v>1095</v>
      </c>
    </row>
    <row r="59" customFormat="false" ht="14.5" hidden="false" customHeight="false" outlineLevel="0" collapsed="false">
      <c r="A59" s="14" t="n">
        <v>83</v>
      </c>
      <c r="B59" s="14" t="s">
        <v>1096</v>
      </c>
      <c r="C59" s="14" t="n">
        <f aca="false">COUNTIFS(c1raw!B:B, A59, c1raw!$E:$E, B59)</f>
        <v>3</v>
      </c>
      <c r="D59" s="14" t="n">
        <f aca="false">TRUE()</f>
        <v>1</v>
      </c>
      <c r="E59" s="14" t="s">
        <v>1156</v>
      </c>
      <c r="F59" s="14"/>
      <c r="G59" s="14" t="s">
        <v>1097</v>
      </c>
    </row>
    <row r="60" customFormat="false" ht="14.5" hidden="false" customHeight="false" outlineLevel="0" collapsed="false">
      <c r="A60" s="14" t="n">
        <v>83</v>
      </c>
      <c r="B60" s="14" t="s">
        <v>1092</v>
      </c>
      <c r="C60" s="14" t="n">
        <f aca="false">COUNTIFS(c1raw!B:B, A60, c1raw!$E:$E, B60)</f>
        <v>2</v>
      </c>
      <c r="D60" s="14" t="n">
        <f aca="false">TRUE()</f>
        <v>1</v>
      </c>
      <c r="E60" s="14" t="s">
        <v>1156</v>
      </c>
      <c r="F60" s="14"/>
      <c r="G60" s="14" t="s">
        <v>1093</v>
      </c>
    </row>
    <row r="61" customFormat="false" ht="14.5" hidden="false" customHeight="false" outlineLevel="0" collapsed="false">
      <c r="A61" s="14" t="n">
        <v>83</v>
      </c>
      <c r="B61" s="14" t="s">
        <v>1105</v>
      </c>
      <c r="C61" s="14" t="n">
        <f aca="false">COUNTIFS(c1raw!B:B, A61, c1raw!$E:$E, B61)</f>
        <v>1</v>
      </c>
      <c r="D61" s="14" t="n">
        <f aca="false">FALSE()</f>
        <v>0</v>
      </c>
      <c r="E61" s="14" t="s">
        <v>1157</v>
      </c>
      <c r="F61" s="14"/>
      <c r="G61" s="14" t="s">
        <v>1106</v>
      </c>
    </row>
    <row r="62" customFormat="false" ht="14.5" hidden="false" customHeight="false" outlineLevel="0" collapsed="false">
      <c r="A62" s="14" t="n">
        <v>83</v>
      </c>
      <c r="B62" s="14" t="s">
        <v>1107</v>
      </c>
      <c r="C62" s="14" t="n">
        <f aca="false">COUNTIFS(c1raw!B:B, A62, c1raw!$E:$E, B62)</f>
        <v>1</v>
      </c>
      <c r="D62" s="14" t="n">
        <f aca="false">FALSE()</f>
        <v>0</v>
      </c>
      <c r="E62" s="14" t="s">
        <v>1157</v>
      </c>
      <c r="F62" s="14"/>
      <c r="G62" s="14" t="s">
        <v>1108</v>
      </c>
    </row>
    <row r="63" customFormat="false" ht="14.5" hidden="false" customHeight="false" outlineLevel="0" collapsed="false">
      <c r="A63" s="14" t="n">
        <v>193</v>
      </c>
      <c r="B63" s="14" t="s">
        <v>1110</v>
      </c>
      <c r="C63" s="12" t="n">
        <f aca="false">COUNTIFS(c1raw!B:B, A63, c1raw!$E:$E, B63)</f>
        <v>3</v>
      </c>
      <c r="D63" s="14" t="s">
        <v>1158</v>
      </c>
      <c r="E63" s="14" t="s">
        <v>1124</v>
      </c>
      <c r="F63" s="7" t="s">
        <v>1159</v>
      </c>
      <c r="G63" s="14" t="s">
        <v>1111</v>
      </c>
    </row>
    <row r="64" customFormat="false" ht="14.5" hidden="false" customHeight="false" outlineLevel="0" collapsed="false">
      <c r="A64" s="14" t="n">
        <v>193</v>
      </c>
      <c r="B64" s="14" t="s">
        <v>1114</v>
      </c>
      <c r="C64" s="14" t="n">
        <f aca="false">COUNTIFS(c1raw!B:B, A64, c1raw!$E:$E, B64)</f>
        <v>1</v>
      </c>
      <c r="D64" s="14" t="s">
        <v>1158</v>
      </c>
      <c r="E64" s="14" t="s">
        <v>1124</v>
      </c>
      <c r="F64" s="7" t="s">
        <v>1159</v>
      </c>
      <c r="G64" s="14" t="s">
        <v>1115</v>
      </c>
    </row>
    <row r="74" customFormat="false" ht="14.5" hidden="false" customHeight="false" outlineLevel="0" collapsed="false">
      <c r="A74" s="10" t="s">
        <v>890</v>
      </c>
      <c r="B74" s="10" t="s">
        <v>893</v>
      </c>
      <c r="C74" s="10" t="s">
        <v>1118</v>
      </c>
      <c r="D74" s="10" t="s">
        <v>1119</v>
      </c>
      <c r="E74" s="10" t="s">
        <v>1160</v>
      </c>
    </row>
    <row r="75" customFormat="false" ht="14.5" hidden="false" customHeight="false" outlineLevel="0" collapsed="false">
      <c r="A75" s="5" t="n">
        <v>3</v>
      </c>
      <c r="B75" s="5" t="s">
        <v>896</v>
      </c>
      <c r="C75" s="5" t="n">
        <f aca="false">COUNTIFS(c1raw!B:B, A75, c1raw!$E:$E, B75)</f>
        <v>3</v>
      </c>
      <c r="D75" s="5" t="s">
        <v>1123</v>
      </c>
      <c r="E75" s="5" t="n">
        <f aca="false">COUNTIFS(A1:A64, A75, $D1:$D64, D75)</f>
        <v>1</v>
      </c>
    </row>
    <row r="76" customFormat="false" ht="14.5" hidden="false" customHeight="false" outlineLevel="0" collapsed="false">
      <c r="A76" s="1" t="n">
        <v>3</v>
      </c>
      <c r="B76" s="1" t="s">
        <v>898</v>
      </c>
      <c r="C76" s="1" t="n">
        <f aca="false">COUNTIFS(c1raw!B:B, A76, c1raw!$E:$E, B76)</f>
        <v>2</v>
      </c>
      <c r="D76" s="1" t="s">
        <v>1126</v>
      </c>
      <c r="E76" s="5" t="n">
        <f aca="false">COUNTIFS(A2:A65, A76, $D2:$D65, D76)</f>
        <v>1</v>
      </c>
    </row>
    <row r="77" customFormat="false" ht="14.5" hidden="false" customHeight="false" outlineLevel="0" collapsed="false">
      <c r="A77" s="5" t="n">
        <v>3</v>
      </c>
      <c r="B77" s="5" t="s">
        <v>907</v>
      </c>
      <c r="C77" s="5" t="n">
        <f aca="false">COUNTIFS(c1raw!B:B, A77, c1raw!$E:$E, B77)</f>
        <v>1</v>
      </c>
      <c r="D77" s="5" t="s">
        <v>1129</v>
      </c>
      <c r="E77" s="5" t="n">
        <f aca="false">COUNTIFS(A3:A66, A77, $D3:$D66, D77)</f>
        <v>1</v>
      </c>
    </row>
    <row r="78" customFormat="false" ht="14.5" hidden="false" customHeight="false" outlineLevel="0" collapsed="false">
      <c r="A78" s="1" t="n">
        <v>3</v>
      </c>
      <c r="B78" s="1" t="s">
        <v>903</v>
      </c>
      <c r="C78" s="1" t="n">
        <f aca="false">COUNTIFS(c1raw!B:B, A78, c1raw!$E:$E, B78)</f>
        <v>1</v>
      </c>
      <c r="D78" s="1" t="n">
        <f aca="false">TRUE()</f>
        <v>1</v>
      </c>
      <c r="E78" s="5" t="n">
        <f aca="false">COUNTIFS(A4:A67, A78, $D4:$D67, D78)</f>
        <v>1</v>
      </c>
    </row>
    <row r="79" customFormat="false" ht="14.5" hidden="false" customHeight="false" outlineLevel="0" collapsed="false">
      <c r="A79" s="5" t="n">
        <v>16</v>
      </c>
      <c r="B79" s="5" t="s">
        <v>910</v>
      </c>
      <c r="C79" s="5" t="n">
        <f aca="false">COUNTIFS(c1raw!B:B, A79, c1raw!$E:$E, B79)</f>
        <v>3</v>
      </c>
      <c r="D79" s="5" t="s">
        <v>1133</v>
      </c>
      <c r="E79" s="5" t="n">
        <f aca="false">COUNTIFS(A5:A68, A79, $D5:$D68, D79)</f>
        <v>6</v>
      </c>
    </row>
    <row r="80" customFormat="false" ht="14.5" hidden="false" customHeight="false" outlineLevel="0" collapsed="false">
      <c r="A80" s="5" t="n">
        <v>20</v>
      </c>
      <c r="B80" s="5" t="s">
        <v>928</v>
      </c>
      <c r="C80" s="5" t="n">
        <f aca="false">COUNTIFS(c1raw!B:B, A80, c1raw!$E:$E, B80)</f>
        <v>3</v>
      </c>
      <c r="D80" s="5" t="s">
        <v>1138</v>
      </c>
      <c r="E80" s="5" t="n">
        <f aca="false">COUNTIFS(A6:A69, A80, $D6:$D69, D80)</f>
        <v>1</v>
      </c>
    </row>
    <row r="81" customFormat="false" ht="14.5" hidden="false" customHeight="false" outlineLevel="0" collapsed="false">
      <c r="A81" s="1" t="n">
        <v>20</v>
      </c>
      <c r="B81" s="1" t="s">
        <v>932</v>
      </c>
      <c r="C81" s="1" t="n">
        <f aca="false">COUNTIFS(c1raw!B:B, A81, c1raw!$E:$E, B81)</f>
        <v>3</v>
      </c>
      <c r="D81" s="1" t="s">
        <v>1140</v>
      </c>
      <c r="E81" s="5" t="n">
        <f aca="false">COUNTIFS(A7:A70, A81, $D7:$D70, D81)</f>
        <v>1</v>
      </c>
    </row>
    <row r="82" customFormat="false" ht="14.5" hidden="false" customHeight="false" outlineLevel="0" collapsed="false">
      <c r="A82" s="5" t="n">
        <v>20</v>
      </c>
      <c r="B82" s="5" t="s">
        <v>934</v>
      </c>
      <c r="C82" s="5" t="n">
        <f aca="false">COUNTIFS(c1raw!B:B, A82, c1raw!$E:$E, B82)</f>
        <v>3</v>
      </c>
      <c r="D82" s="5" t="s">
        <v>1123</v>
      </c>
      <c r="E82" s="5" t="n">
        <f aca="false">COUNTIFS(A8:A71, A82, $D8:$D71, D82)</f>
        <v>1</v>
      </c>
    </row>
    <row r="83" customFormat="false" ht="14.5" hidden="false" customHeight="false" outlineLevel="0" collapsed="false">
      <c r="A83" s="1" t="n">
        <v>20</v>
      </c>
      <c r="B83" s="1" t="s">
        <v>942</v>
      </c>
      <c r="C83" s="1" t="n">
        <f aca="false">COUNTIFS(c1raw!B:B, A83, c1raw!$E:$E, B83)</f>
        <v>3</v>
      </c>
      <c r="D83" s="1" t="n">
        <f aca="false">TRUE()</f>
        <v>1</v>
      </c>
      <c r="E83" s="5" t="n">
        <f aca="false">COUNTIFS(A9:A72, A83, $D9:$D72, D83)</f>
        <v>10</v>
      </c>
    </row>
    <row r="84" customFormat="false" ht="14.5" hidden="false" customHeight="false" outlineLevel="0" collapsed="false">
      <c r="A84" s="1" t="n">
        <v>20</v>
      </c>
      <c r="B84" s="1" t="s">
        <v>930</v>
      </c>
      <c r="C84" s="1" t="n">
        <f aca="false">COUNTIFS(c1raw!B:B, A84, c1raw!$E:$E, B84)</f>
        <v>2</v>
      </c>
      <c r="D84" s="1" t="s">
        <v>1143</v>
      </c>
      <c r="E84" s="5" t="n">
        <f aca="false">COUNTIFS(A10:A73, A84, $D10:$D73, D84)</f>
        <v>1</v>
      </c>
    </row>
    <row r="85" customFormat="false" ht="14.5" hidden="false" customHeight="false" outlineLevel="0" collapsed="false">
      <c r="A85" s="5" t="n">
        <v>20</v>
      </c>
      <c r="B85" s="5" t="s">
        <v>972</v>
      </c>
      <c r="C85" s="5" t="n">
        <f aca="false">COUNTIFS(c1raw!B:B, A85, c1raw!$E:$E, B85)</f>
        <v>1</v>
      </c>
      <c r="D85" s="5" t="n">
        <f aca="false">FALSE()</f>
        <v>0</v>
      </c>
      <c r="E85" s="5" t="n">
        <f aca="false">COUNTIFS(A11:A74, A85, $D11:$D74, D85)</f>
        <v>2</v>
      </c>
    </row>
    <row r="86" customFormat="false" ht="14.5" hidden="false" customHeight="false" outlineLevel="0" collapsed="false">
      <c r="A86" s="5" t="n">
        <v>23</v>
      </c>
      <c r="B86" s="5" t="s">
        <v>979</v>
      </c>
      <c r="C86" s="5" t="n">
        <f aca="false">COUNTIFS(c1raw!B:B, A86, c1raw!$E:$E, B86)</f>
        <v>1</v>
      </c>
      <c r="D86" s="5" t="n">
        <f aca="false">TRUE()</f>
        <v>1</v>
      </c>
      <c r="E86" s="5" t="n">
        <f aca="false">COUNTIFS(A12:A75, A86, $D12:$D75, D86)</f>
        <v>2</v>
      </c>
    </row>
    <row r="87" customFormat="false" ht="14.5" hidden="false" customHeight="false" outlineLevel="0" collapsed="false">
      <c r="A87" s="1" t="n">
        <v>23</v>
      </c>
      <c r="B87" s="1" t="s">
        <v>981</v>
      </c>
      <c r="C87" s="1" t="n">
        <f aca="false">COUNTIFS(c1raw!B:B, A87, c1raw!$E:$E, B87)</f>
        <v>2</v>
      </c>
      <c r="D87" s="1" t="s">
        <v>1146</v>
      </c>
      <c r="E87" s="5" t="n">
        <f aca="false">COUNTIFS(A13:A76, A87, $D13:$D76, D87)</f>
        <v>1</v>
      </c>
    </row>
    <row r="88" customFormat="false" ht="14.5" hidden="false" customHeight="false" outlineLevel="0" collapsed="false">
      <c r="A88" s="1" t="n">
        <v>42</v>
      </c>
      <c r="B88" s="1" t="s">
        <v>991</v>
      </c>
      <c r="C88" s="1" t="n">
        <f aca="false">COUNTIFS(c1raw!B:B, A88, c1raw!$E:$E, B88)</f>
        <v>4</v>
      </c>
      <c r="D88" s="1" t="n">
        <f aca="false">TRUE()</f>
        <v>1</v>
      </c>
      <c r="E88" s="5" t="n">
        <f aca="false">COUNTIFS(A14:A77, A88, $D14:$D77, D88)</f>
        <v>6</v>
      </c>
    </row>
    <row r="89" customFormat="false" ht="14.5" hidden="false" customHeight="false" outlineLevel="0" collapsed="false">
      <c r="A89" s="1" t="n">
        <v>52</v>
      </c>
      <c r="B89" s="1" t="s">
        <v>1014</v>
      </c>
      <c r="C89" s="1" t="n">
        <f aca="false">COUNTIFS(c1raw!B:B, A89, c1raw!$E:$E, B89)</f>
        <v>5</v>
      </c>
      <c r="D89" s="1" t="n">
        <f aca="false">TRUE()</f>
        <v>1</v>
      </c>
      <c r="E89" s="5" t="n">
        <f aca="false">COUNTIFS(A15:A78, A89, $D15:$D78, D89)</f>
        <v>5</v>
      </c>
    </row>
    <row r="90" customFormat="false" ht="14.5" hidden="false" customHeight="false" outlineLevel="0" collapsed="false">
      <c r="A90" s="5" t="n">
        <v>52</v>
      </c>
      <c r="B90" s="5" t="s">
        <v>928</v>
      </c>
      <c r="C90" s="5" t="n">
        <f aca="false">COUNTIFS(c1raw!B:B, A90, c1raw!$E:$E, B90)</f>
        <v>2</v>
      </c>
      <c r="D90" s="5" t="s">
        <v>1133</v>
      </c>
      <c r="E90" s="5" t="n">
        <f aca="false">COUNTIFS(A16:A79, A90, $D16:$D79, D90)</f>
        <v>2</v>
      </c>
    </row>
    <row r="91" customFormat="false" ht="14.5" hidden="false" customHeight="false" outlineLevel="0" collapsed="false">
      <c r="A91" s="5" t="n">
        <v>52</v>
      </c>
      <c r="B91" s="5" t="s">
        <v>1030</v>
      </c>
      <c r="C91" s="5" t="n">
        <f aca="false">COUNTIFS(c1raw!B:B, A91, c1raw!$E:$E, B91)</f>
        <v>1</v>
      </c>
      <c r="D91" s="5" t="n">
        <f aca="false">FALSE()</f>
        <v>0</v>
      </c>
      <c r="E91" s="5" t="n">
        <f aca="false">COUNTIFS(A17:A80, A91, $D17:$D80, D91)</f>
        <v>1</v>
      </c>
    </row>
    <row r="92" customFormat="false" ht="14.5" hidden="false" customHeight="false" outlineLevel="0" collapsed="false">
      <c r="A92" s="1" t="n">
        <v>67</v>
      </c>
      <c r="B92" s="1" t="s">
        <v>1039</v>
      </c>
      <c r="C92" s="1" t="n">
        <f aca="false">COUNTIFS(c1raw!B:B, A92, c1raw!$E:$E, B92)</f>
        <v>3</v>
      </c>
      <c r="D92" s="1" t="n">
        <f aca="false">TRUE()</f>
        <v>1</v>
      </c>
      <c r="E92" s="5" t="n">
        <f aca="false">COUNTIFS(A18:A81, A92, $D18:$D81, D92)</f>
        <v>3</v>
      </c>
    </row>
    <row r="93" customFormat="false" ht="14.5" hidden="false" customHeight="false" outlineLevel="0" collapsed="false">
      <c r="A93" s="5" t="n">
        <v>70</v>
      </c>
      <c r="B93" s="5" t="s">
        <v>1050</v>
      </c>
      <c r="C93" s="5" t="n">
        <f aca="false">COUNTIFS(c1raw!B:B, A93, c1raw!$E:$E, B93)</f>
        <v>3</v>
      </c>
      <c r="D93" s="5" t="n">
        <f aca="false">TRUE()</f>
        <v>1</v>
      </c>
      <c r="E93" s="5" t="n">
        <f aca="false">COUNTIFS(A19:A82, A93, $D19:$D82, D93)</f>
        <v>7</v>
      </c>
    </row>
    <row r="94" customFormat="false" ht="14.5" hidden="false" customHeight="false" outlineLevel="0" collapsed="false">
      <c r="A94" s="1" t="n">
        <v>78</v>
      </c>
      <c r="B94" s="1" t="s">
        <v>1077</v>
      </c>
      <c r="C94" s="1" t="n">
        <f aca="false">COUNTIFS(c1raw!B:B, A94, c1raw!$E:$E, B94)</f>
        <v>3</v>
      </c>
      <c r="D94" s="1" t="s">
        <v>1140</v>
      </c>
      <c r="E94" s="5" t="n">
        <f aca="false">COUNTIFS(A20:A83, A94, $D20:$D83, D94)</f>
        <v>1</v>
      </c>
    </row>
    <row r="95" customFormat="false" ht="14.5" hidden="false" customHeight="false" outlineLevel="0" collapsed="false">
      <c r="A95" s="5" t="n">
        <v>78</v>
      </c>
      <c r="B95" s="5" t="s">
        <v>1079</v>
      </c>
      <c r="C95" s="5" t="n">
        <f aca="false">COUNTIFS(c1raw!B:B, A95, c1raw!$E:$E, B95)</f>
        <v>3</v>
      </c>
      <c r="D95" s="5" t="s">
        <v>1154</v>
      </c>
      <c r="E95" s="5" t="n">
        <f aca="false">COUNTIFS(A21:A84, A95, $D21:$D84, D95)</f>
        <v>2</v>
      </c>
    </row>
    <row r="96" customFormat="false" ht="14.5" hidden="false" customHeight="false" outlineLevel="0" collapsed="false">
      <c r="A96" s="5" t="n">
        <v>83</v>
      </c>
      <c r="B96" s="5" t="s">
        <v>1094</v>
      </c>
      <c r="C96" s="5" t="n">
        <f aca="false">COUNTIFS(c1raw!B:B, A96, c1raw!$E:$E, B96)</f>
        <v>3</v>
      </c>
      <c r="D96" s="5" t="n">
        <f aca="false">TRUE()</f>
        <v>1</v>
      </c>
      <c r="E96" s="5" t="n">
        <f aca="false">COUNTIFS(A22:A85, A96, $D22:$D85, D96)</f>
        <v>3</v>
      </c>
    </row>
    <row r="97" customFormat="false" ht="14.5" hidden="false" customHeight="false" outlineLevel="0" collapsed="false">
      <c r="A97" s="1" t="n">
        <v>83</v>
      </c>
      <c r="B97" s="1" t="s">
        <v>1105</v>
      </c>
      <c r="C97" s="1" t="n">
        <f aca="false">COUNTIFS(c1raw!B:B, A97, c1raw!$E:$E, B97)</f>
        <v>1</v>
      </c>
      <c r="D97" s="1" t="n">
        <f aca="false">FALSE()</f>
        <v>0</v>
      </c>
      <c r="E97" s="5" t="n">
        <f aca="false">COUNTIFS(A23:A86, A97, $D23:$D86, D97)</f>
        <v>2</v>
      </c>
    </row>
    <row r="98" customFormat="false" ht="14.5" hidden="false" customHeight="false" outlineLevel="0" collapsed="false">
      <c r="A98" s="1" t="n">
        <v>193</v>
      </c>
      <c r="B98" s="1" t="s">
        <v>1110</v>
      </c>
      <c r="C98" s="21" t="n">
        <f aca="false">COUNTIFS(c1raw!B:B, A98, c1raw!$E:$E, B98)</f>
        <v>3</v>
      </c>
      <c r="D98" s="1" t="s">
        <v>1158</v>
      </c>
      <c r="E98" s="5" t="n">
        <f aca="false">COUNTIFS(A24:A87, A98, $D24:$D87, D98)</f>
        <v>2</v>
      </c>
    </row>
  </sheetData>
  <hyperlinks>
    <hyperlink ref="F2" r:id="rId1" location="m-08-priceaware-uses-prices-from-getamountsout" display="https://code4rena.com/reports/2021-04-marginswap/#m-08-priceaware-uses-prices-from-getamountsout"/>
    <hyperlink ref="F3" r:id="rId2" location="h-03-price-feed-can-be-manipulated" display="https://code4rena.com/reports/2021-04-marginswap/#h-03-price-feed-can-be-manipulated"/>
    <hyperlink ref="F4" r:id="rId3" location="m-02-missing-checks-if-pairs-equal-tokens" display="https://code4rena.com/reports/2021-04-marginswap/#m-02-missing-checks-if-pairs-equal-tokens"/>
    <hyperlink ref="F6" r:id="rId4" location="h-01-wrong-trading-pricing-calculations" display="https://code4rena.com/reports/2021-06-tracer/#h-01-wrong-trading-pricing-calculations"/>
    <hyperlink ref="F7" r:id="rId5" location="h-01-wrong-trading-pricing-calculations" display="https://code4rena.com/reports/2021-06-tracer/#h-02-wrong-trading-pricing-calculations"/>
    <hyperlink ref="F8" r:id="rId6" location="h-01-wrong-trading-pricing-calculations" display="https://code4rena.com/reports/2021-06-tracer/#h-03-wrong-trading-pricing-calculations"/>
    <hyperlink ref="F9" r:id="rId7" location="h-01-wrong-trading-pricing-calculations" display="https://code4rena.com/reports/2021-06-tracer/#h-02-wrong-trading-pricing-calculations"/>
    <hyperlink ref="F10" r:id="rId8" location="h-01-wrong-trading-pricing-calculations" display="https://code4rena.com/reports/2021-06-tracer/#h-02-wrong-trading-pricing-calculations"/>
    <hyperlink ref="F11" r:id="rId9" location="h-01-wrong-trading-pricing-calculations" display="https://code4rena.com/reports/2021-06-tracer/#h-02-wrong-trading-pricing-calculations"/>
    <hyperlink ref="F12" r:id="rId10" location="h-09-arbitrary-synth-mintburn-from-pool" display="https://code4rena.com/reports/2021-07-spartan/#h-09-arbitrary-synth-mintburn-from-pool"/>
    <hyperlink ref="F13" r:id="rId11" location="h-05-synth-realise-is-vulnerable-to-flash-loan-attacks" display="https://code4rena.com/reports/2021-07-spartan/#h-05-synth-realise-is-vulnerable-to-flash-loan-attacks"/>
    <hyperlink ref="F14" r:id="rId12" location="m-08-synthvault-deposit-lockup-bypass" display="https://code4rena.com/reports/2021-07-spartan/#m-08-synthvault-deposit-lockup-bypass"/>
    <hyperlink ref="F17" r:id="rId13" location="l-11-inconsistent-value-of-burnsynth-between-pool-and-synth" display="https://code4rena.com/reports/2021-07-spartan/#l-11-inconsistent-value-of-burnsynth-between-pool-and-synth"/>
    <hyperlink ref="F29" r:id="rId14" location="h-10-liquidity-token-value-can-be-manipulated" display="https://code4rena.com/reports/2021-08-notional/#h-10-liquidity-token-value-can-be-manipulated"/>
    <hyperlink ref="F40" r:id="rId15" location="h-01-minting-and-burning-synths-exposes-users-to-unlimited-slippage" display="https://code4rena.com/reports/2021-11-vader/#h-01-minting-and-burning-synths-exposes-users-to-unlimited-slippage"/>
    <hyperlink ref="F41" r:id="rId16" location="h-01-minting-and-burning-synths-exposes-users-to-unlimited-slippage" display="https://code4rena.com/reports/2021-11-vader/#h-01-minting-and-burning-synths-exposes-users-to-unlimited-slippage"/>
    <hyperlink ref="F55" r:id="rId17" location="h-05-flash-loan-price-manipulation-in-purchasepyroflan" display="https://code4rena.com/reports/2022-01-behodler/#h-05-flash-loan-price-manipulation-in-purchasepyroflan"/>
    <hyperlink ref="F56" r:id="rId18" location="h-07-lp-pricing-formula-is-vulnerable-to-flashloan-manipulation" display="https://code4rena.com/reports/2022-01-behodler/#h-07-lp-pricing-formula-is-vulnerable-to-flashloan-manipulation"/>
    <hyperlink ref="F57" r:id="rId19" location="h-07-lp-pricing-formula-is-vulnerable-to-flashloan-manipulation" display="https://code4rena.com/reports/2022-01-behodler/#h-07-lp-pricing-formula-is-vulnerable-to-flashloan-manipulation"/>
    <hyperlink ref="F63" r:id="rId20" location="m-05-pair-price-may-be-manipulated-by-direct-transfers" display="https://code4rena.com/reports/2022-12-caviar/#m-05-pair-price-may-be-manipulated-by-direct-transfers"/>
    <hyperlink ref="F64" r:id="rId21" location="m-05-pair-price-may-be-manipulated-by-direct-transfers" display="https://code4rena.com/reports/2022-12-caviar/#m-05-pair-price-may-be-manipulated-by-direct-transfer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22"/>
    <tablePart r:id="rId2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363"/>
  <sheetViews>
    <sheetView showFormulas="false" showGridLines="true" showRowColHeaders="true" showZeros="true" rightToLeft="false" tabSelected="false" showOutlineSymbols="true" defaultGridColor="true" view="normal" topLeftCell="D5" colorId="64" zoomScale="130" zoomScaleNormal="130" zoomScalePageLayoutView="100" workbookViewId="0">
      <selection pane="topLeft" activeCell="D5" activeCellId="1" sqref="G14:I22 D5"/>
    </sheetView>
  </sheetViews>
  <sheetFormatPr defaultColWidth="8.4296875" defaultRowHeight="14.5" zeroHeight="false" outlineLevelRow="0" outlineLevelCol="0"/>
  <cols>
    <col collapsed="false" customWidth="true" hidden="false" outlineLevel="0" max="1" min="1" style="0" width="6.54"/>
    <col collapsed="false" customWidth="true" hidden="false" outlineLevel="0" max="2" min="2" style="0" width="4.82"/>
    <col collapsed="false" customWidth="true" hidden="false" outlineLevel="0" max="3" min="3" style="0" width="7.18"/>
    <col collapsed="false" customWidth="true" hidden="false" outlineLevel="0" max="4" min="4" style="0" width="6"/>
    <col collapsed="false" customWidth="true" hidden="false" outlineLevel="0" max="5" min="5" style="0" width="14.54"/>
    <col collapsed="false" customWidth="true" hidden="false" outlineLevel="0" max="6" min="6" style="0" width="27.18"/>
    <col collapsed="false" customWidth="true" hidden="false" outlineLevel="0" max="8" min="7" style="0" width="11.17"/>
    <col collapsed="false" customWidth="true" hidden="false" outlineLevel="0" max="9" min="9" style="0" width="12"/>
    <col collapsed="false" customWidth="true" hidden="false" outlineLevel="0" max="10" min="10" style="0" width="9.54"/>
  </cols>
  <sheetData>
    <row r="1" customFormat="false" ht="14.5" hidden="false" customHeight="false" outlineLevel="0" collapsed="false">
      <c r="A1" s="12" t="s">
        <v>1161</v>
      </c>
      <c r="B1" s="12" t="s">
        <v>21</v>
      </c>
      <c r="C1" s="12" t="s">
        <v>1162</v>
      </c>
      <c r="D1" s="12" t="s">
        <v>1163</v>
      </c>
      <c r="E1" s="12" t="s">
        <v>1164</v>
      </c>
      <c r="F1" s="12" t="s">
        <v>1165</v>
      </c>
      <c r="G1" s="12" t="s">
        <v>1166</v>
      </c>
      <c r="H1" s="12" t="s">
        <v>1167</v>
      </c>
      <c r="I1" s="12" t="s">
        <v>1168</v>
      </c>
      <c r="J1" s="12" t="s">
        <v>1169</v>
      </c>
    </row>
    <row r="2" customFormat="false" ht="14.5" hidden="true" customHeight="false" outlineLevel="0" collapsed="false">
      <c r="A2" s="14" t="s">
        <v>895</v>
      </c>
      <c r="B2" s="14" t="n">
        <v>3</v>
      </c>
      <c r="C2" s="14" t="n">
        <v>1</v>
      </c>
      <c r="D2" s="14" t="n">
        <v>1</v>
      </c>
      <c r="E2" s="14" t="s">
        <v>1170</v>
      </c>
      <c r="F2" s="14" t="s">
        <v>1171</v>
      </c>
      <c r="G2" s="14"/>
      <c r="H2" s="14"/>
      <c r="I2" s="14" t="s">
        <v>1172</v>
      </c>
      <c r="J2" s="14"/>
    </row>
    <row r="3" customFormat="false" ht="14.5" hidden="true" customHeight="false" outlineLevel="0" collapsed="false">
      <c r="A3" s="14" t="s">
        <v>895</v>
      </c>
      <c r="B3" s="14" t="n">
        <v>3</v>
      </c>
      <c r="C3" s="14" t="n">
        <v>1</v>
      </c>
      <c r="D3" s="14" t="n">
        <v>1</v>
      </c>
      <c r="E3" s="14" t="s">
        <v>1173</v>
      </c>
      <c r="F3" s="14" t="s">
        <v>1174</v>
      </c>
      <c r="G3" s="14"/>
      <c r="H3" s="14"/>
      <c r="I3" s="14" t="s">
        <v>1175</v>
      </c>
      <c r="J3" s="14"/>
    </row>
    <row r="4" customFormat="false" ht="14.5" hidden="true" customHeight="false" outlineLevel="0" collapsed="false">
      <c r="A4" s="14" t="s">
        <v>895</v>
      </c>
      <c r="B4" s="14" t="n">
        <v>3</v>
      </c>
      <c r="C4" s="14" t="n">
        <v>1</v>
      </c>
      <c r="D4" s="14" t="n">
        <v>2</v>
      </c>
      <c r="E4" s="14" t="s">
        <v>1176</v>
      </c>
      <c r="F4" s="14" t="s">
        <v>1177</v>
      </c>
      <c r="G4" s="14"/>
      <c r="H4" s="14"/>
      <c r="I4" s="14" t="s">
        <v>1178</v>
      </c>
      <c r="J4" s="14"/>
    </row>
    <row r="5" customFormat="false" ht="14.5" hidden="false" customHeight="false" outlineLevel="0" collapsed="false">
      <c r="A5" s="14" t="s">
        <v>895</v>
      </c>
      <c r="B5" s="14" t="n">
        <v>3</v>
      </c>
      <c r="C5" s="14" t="n">
        <v>1</v>
      </c>
      <c r="D5" s="14" t="n">
        <v>3</v>
      </c>
      <c r="E5" s="14" t="s">
        <v>1179</v>
      </c>
      <c r="F5" s="14" t="s">
        <v>1180</v>
      </c>
      <c r="G5" s="14"/>
      <c r="H5" s="14"/>
      <c r="I5" s="14" t="s">
        <v>1181</v>
      </c>
      <c r="J5" s="14"/>
    </row>
    <row r="6" customFormat="false" ht="14.5" hidden="false" customHeight="false" outlineLevel="0" collapsed="false">
      <c r="A6" s="14" t="s">
        <v>895</v>
      </c>
      <c r="B6" s="14" t="n">
        <v>3</v>
      </c>
      <c r="C6" s="14" t="n">
        <v>1</v>
      </c>
      <c r="D6" s="14" t="n">
        <v>4</v>
      </c>
      <c r="E6" s="14" t="s">
        <v>1182</v>
      </c>
      <c r="F6" s="14" t="s">
        <v>1183</v>
      </c>
      <c r="G6" s="14"/>
      <c r="H6" s="14"/>
      <c r="I6" s="14" t="s">
        <v>1184</v>
      </c>
      <c r="J6" s="14"/>
    </row>
    <row r="7" customFormat="false" ht="14.5" hidden="false" customHeight="false" outlineLevel="0" collapsed="false">
      <c r="A7" s="14" t="s">
        <v>895</v>
      </c>
      <c r="B7" s="14" t="n">
        <v>3</v>
      </c>
      <c r="C7" s="14" t="n">
        <v>1</v>
      </c>
      <c r="D7" s="14" t="n">
        <v>5</v>
      </c>
      <c r="E7" s="14" t="s">
        <v>1179</v>
      </c>
      <c r="F7" s="14" t="s">
        <v>1185</v>
      </c>
      <c r="G7" s="14"/>
      <c r="H7" s="14"/>
      <c r="I7" s="14" t="s">
        <v>1186</v>
      </c>
      <c r="J7" s="14"/>
    </row>
    <row r="8" customFormat="false" ht="14.5" hidden="true" customHeight="false" outlineLevel="0" collapsed="false">
      <c r="A8" s="14" t="s">
        <v>900</v>
      </c>
      <c r="B8" s="14" t="n">
        <v>3</v>
      </c>
      <c r="C8" s="14" t="n">
        <v>2</v>
      </c>
      <c r="D8" s="14" t="n">
        <v>1</v>
      </c>
      <c r="E8" s="14" t="s">
        <v>1187</v>
      </c>
      <c r="F8" s="14" t="s">
        <v>1188</v>
      </c>
      <c r="G8" s="14"/>
      <c r="H8" s="14"/>
      <c r="I8" s="14" t="s">
        <v>1189</v>
      </c>
      <c r="J8" s="14"/>
    </row>
    <row r="9" customFormat="false" ht="14.5" hidden="true" customHeight="false" outlineLevel="0" collapsed="false">
      <c r="A9" s="14" t="s">
        <v>900</v>
      </c>
      <c r="B9" s="14" t="n">
        <v>3</v>
      </c>
      <c r="C9" s="14" t="n">
        <v>2</v>
      </c>
      <c r="D9" s="14" t="n">
        <v>2</v>
      </c>
      <c r="E9" s="14" t="s">
        <v>1190</v>
      </c>
      <c r="F9" s="14" t="s">
        <v>1188</v>
      </c>
      <c r="G9" s="14"/>
      <c r="H9" s="14"/>
      <c r="I9" s="14" t="s">
        <v>1191</v>
      </c>
      <c r="J9" s="14"/>
    </row>
    <row r="10" customFormat="false" ht="14.5" hidden="true" customHeight="false" outlineLevel="0" collapsed="false">
      <c r="A10" s="14" t="s">
        <v>900</v>
      </c>
      <c r="B10" s="14" t="n">
        <v>3</v>
      </c>
      <c r="C10" s="14" t="n">
        <v>2</v>
      </c>
      <c r="D10" s="14" t="n">
        <v>3</v>
      </c>
      <c r="E10" s="14" t="s">
        <v>1192</v>
      </c>
      <c r="F10" s="14" t="s">
        <v>1193</v>
      </c>
      <c r="G10" s="14"/>
      <c r="H10" s="14"/>
      <c r="I10" s="14" t="s">
        <v>1194</v>
      </c>
      <c r="J10" s="14"/>
    </row>
    <row r="11" customFormat="false" ht="14.5" hidden="true" customHeight="false" outlineLevel="0" collapsed="false">
      <c r="A11" s="14" t="s">
        <v>900</v>
      </c>
      <c r="B11" s="14" t="n">
        <v>3</v>
      </c>
      <c r="C11" s="14" t="n">
        <v>2</v>
      </c>
      <c r="D11" s="14" t="n">
        <v>4</v>
      </c>
      <c r="E11" s="14" t="s">
        <v>1195</v>
      </c>
      <c r="F11" s="14" t="s">
        <v>1196</v>
      </c>
      <c r="G11" s="14"/>
      <c r="H11" s="14"/>
      <c r="I11" s="14" t="s">
        <v>1197</v>
      </c>
      <c r="J11" s="14"/>
    </row>
    <row r="12" customFormat="false" ht="14.5" hidden="false" customHeight="false" outlineLevel="0" collapsed="false">
      <c r="A12" s="14" t="s">
        <v>900</v>
      </c>
      <c r="B12" s="14" t="n">
        <v>3</v>
      </c>
      <c r="C12" s="14" t="n">
        <v>2</v>
      </c>
      <c r="D12" s="14" t="n">
        <v>5</v>
      </c>
      <c r="E12" s="14" t="s">
        <v>1198</v>
      </c>
      <c r="F12" s="14" t="s">
        <v>1199</v>
      </c>
      <c r="G12" s="14"/>
      <c r="H12" s="14"/>
      <c r="I12" s="14" t="s">
        <v>1200</v>
      </c>
      <c r="J12" s="14"/>
    </row>
    <row r="13" customFormat="false" ht="14.5" hidden="true" customHeight="false" outlineLevel="0" collapsed="false">
      <c r="A13" s="14" t="s">
        <v>905</v>
      </c>
      <c r="B13" s="14" t="n">
        <v>3</v>
      </c>
      <c r="C13" s="14" t="n">
        <v>3</v>
      </c>
      <c r="D13" s="14" t="n">
        <v>1</v>
      </c>
      <c r="E13" s="14" t="s">
        <v>1201</v>
      </c>
      <c r="F13" s="14" t="s">
        <v>1202</v>
      </c>
      <c r="G13" s="14"/>
      <c r="H13" s="14"/>
      <c r="I13" s="14" t="s">
        <v>1203</v>
      </c>
      <c r="J13" s="14"/>
    </row>
    <row r="14" customFormat="false" ht="14.5" hidden="false" customHeight="false" outlineLevel="0" collapsed="false">
      <c r="A14" s="14" t="s">
        <v>905</v>
      </c>
      <c r="B14" s="14" t="n">
        <v>3</v>
      </c>
      <c r="C14" s="14" t="n">
        <v>3</v>
      </c>
      <c r="D14" s="14" t="n">
        <v>2</v>
      </c>
      <c r="E14" s="14" t="s">
        <v>1204</v>
      </c>
      <c r="F14" s="14" t="s">
        <v>1205</v>
      </c>
      <c r="G14" s="14"/>
      <c r="H14" s="14"/>
      <c r="I14" s="14" t="s">
        <v>1206</v>
      </c>
      <c r="J14" s="14"/>
    </row>
    <row r="15" customFormat="false" ht="14.5" hidden="true" customHeight="false" outlineLevel="0" collapsed="false">
      <c r="A15" s="14" t="s">
        <v>905</v>
      </c>
      <c r="B15" s="14" t="n">
        <v>3</v>
      </c>
      <c r="C15" s="14" t="n">
        <v>3</v>
      </c>
      <c r="D15" s="14" t="n">
        <v>3</v>
      </c>
      <c r="E15" s="14" t="s">
        <v>1201</v>
      </c>
      <c r="F15" s="14" t="s">
        <v>1207</v>
      </c>
      <c r="G15" s="14"/>
      <c r="H15" s="14"/>
      <c r="I15" s="14" t="s">
        <v>1208</v>
      </c>
      <c r="J15" s="14"/>
    </row>
    <row r="16" customFormat="false" ht="14.5" hidden="true" customHeight="false" outlineLevel="0" collapsed="false">
      <c r="A16" s="14" t="s">
        <v>905</v>
      </c>
      <c r="B16" s="14" t="n">
        <v>3</v>
      </c>
      <c r="C16" s="14" t="n">
        <v>3</v>
      </c>
      <c r="D16" s="14" t="n">
        <v>4</v>
      </c>
      <c r="E16" s="14" t="s">
        <v>1209</v>
      </c>
      <c r="F16" s="14" t="s">
        <v>1210</v>
      </c>
      <c r="G16" s="14"/>
      <c r="H16" s="14"/>
      <c r="I16" s="14" t="s">
        <v>1211</v>
      </c>
      <c r="J16" s="14"/>
    </row>
    <row r="17" customFormat="false" ht="14.5" hidden="false" customHeight="false" outlineLevel="0" collapsed="false">
      <c r="A17" s="14" t="s">
        <v>905</v>
      </c>
      <c r="B17" s="14" t="n">
        <v>3</v>
      </c>
      <c r="C17" s="14" t="n">
        <v>3</v>
      </c>
      <c r="D17" s="14" t="n">
        <v>5</v>
      </c>
      <c r="E17" s="14" t="s">
        <v>1204</v>
      </c>
      <c r="F17" s="14" t="s">
        <v>1212</v>
      </c>
      <c r="G17" s="14"/>
      <c r="H17" s="14"/>
      <c r="I17" s="14" t="s">
        <v>1213</v>
      </c>
      <c r="J17" s="14"/>
    </row>
    <row r="18" customFormat="false" ht="14.5" hidden="true" customHeight="false" outlineLevel="0" collapsed="false">
      <c r="A18" s="14" t="s">
        <v>1214</v>
      </c>
      <c r="B18" s="14" t="n">
        <v>5</v>
      </c>
      <c r="C18" s="14" t="n">
        <v>1</v>
      </c>
      <c r="D18" s="14" t="n">
        <v>1</v>
      </c>
      <c r="E18" s="14" t="s">
        <v>1215</v>
      </c>
      <c r="F18" s="14" t="s">
        <v>1216</v>
      </c>
      <c r="G18" s="14"/>
      <c r="H18" s="14"/>
      <c r="I18" s="14" t="s">
        <v>1217</v>
      </c>
      <c r="J18" s="14"/>
    </row>
    <row r="19" customFormat="false" ht="14.5" hidden="true" customHeight="false" outlineLevel="0" collapsed="false">
      <c r="A19" s="14" t="s">
        <v>1214</v>
      </c>
      <c r="B19" s="14" t="n">
        <v>5</v>
      </c>
      <c r="C19" s="14" t="n">
        <v>1</v>
      </c>
      <c r="D19" s="14" t="n">
        <v>2</v>
      </c>
      <c r="E19" s="14" t="s">
        <v>1218</v>
      </c>
      <c r="F19" s="14" t="s">
        <v>1219</v>
      </c>
      <c r="G19" s="14"/>
      <c r="H19" s="14"/>
      <c r="I19" s="14" t="s">
        <v>1220</v>
      </c>
      <c r="J19" s="14"/>
    </row>
    <row r="20" customFormat="false" ht="14.5" hidden="false" customHeight="false" outlineLevel="0" collapsed="false">
      <c r="A20" s="14" t="s">
        <v>1214</v>
      </c>
      <c r="B20" s="14" t="n">
        <v>5</v>
      </c>
      <c r="C20" s="14" t="n">
        <v>1</v>
      </c>
      <c r="D20" s="14" t="n">
        <v>3</v>
      </c>
      <c r="E20" s="14" t="s">
        <v>1221</v>
      </c>
      <c r="F20" s="14" t="s">
        <v>1222</v>
      </c>
      <c r="G20" s="14"/>
      <c r="H20" s="14"/>
      <c r="I20" s="14" t="s">
        <v>1223</v>
      </c>
      <c r="J20" s="14"/>
    </row>
    <row r="21" customFormat="false" ht="14.5" hidden="false" customHeight="false" outlineLevel="0" collapsed="false">
      <c r="A21" s="14" t="s">
        <v>1214</v>
      </c>
      <c r="B21" s="14" t="n">
        <v>5</v>
      </c>
      <c r="C21" s="14" t="n">
        <v>1</v>
      </c>
      <c r="D21" s="14" t="n">
        <v>4</v>
      </c>
      <c r="E21" s="14" t="s">
        <v>1224</v>
      </c>
      <c r="F21" s="14" t="s">
        <v>1225</v>
      </c>
      <c r="G21" s="14"/>
      <c r="H21" s="14"/>
      <c r="I21" s="14" t="s">
        <v>1226</v>
      </c>
      <c r="J21" s="14"/>
    </row>
    <row r="22" customFormat="false" ht="14.5" hidden="false" customHeight="false" outlineLevel="0" collapsed="false">
      <c r="A22" s="14" t="s">
        <v>1227</v>
      </c>
      <c r="B22" s="14" t="n">
        <v>5</v>
      </c>
      <c r="C22" s="14" t="n">
        <v>2</v>
      </c>
      <c r="D22" s="14" t="n">
        <v>1</v>
      </c>
      <c r="E22" s="14" t="s">
        <v>1228</v>
      </c>
      <c r="F22" s="14" t="s">
        <v>1229</v>
      </c>
      <c r="G22" s="14"/>
      <c r="H22" s="14"/>
      <c r="I22" s="14" t="s">
        <v>1230</v>
      </c>
      <c r="J22" s="14"/>
    </row>
    <row r="23" customFormat="false" ht="14.5" hidden="false" customHeight="false" outlineLevel="0" collapsed="false">
      <c r="A23" s="14" t="s">
        <v>1227</v>
      </c>
      <c r="B23" s="14" t="n">
        <v>5</v>
      </c>
      <c r="C23" s="14" t="n">
        <v>2</v>
      </c>
      <c r="D23" s="14" t="n">
        <v>2</v>
      </c>
      <c r="E23" s="14" t="s">
        <v>1231</v>
      </c>
      <c r="F23" s="14" t="s">
        <v>1232</v>
      </c>
      <c r="G23" s="14"/>
      <c r="H23" s="14"/>
      <c r="I23" s="14" t="s">
        <v>1233</v>
      </c>
      <c r="J23" s="14"/>
    </row>
    <row r="24" customFormat="false" ht="14.5" hidden="true" customHeight="false" outlineLevel="0" collapsed="false">
      <c r="A24" s="14" t="s">
        <v>1227</v>
      </c>
      <c r="B24" s="14" t="n">
        <v>5</v>
      </c>
      <c r="C24" s="14" t="n">
        <v>2</v>
      </c>
      <c r="D24" s="14" t="n">
        <v>3</v>
      </c>
      <c r="E24" s="14" t="s">
        <v>1234</v>
      </c>
      <c r="F24" s="14" t="s">
        <v>1235</v>
      </c>
      <c r="G24" s="14"/>
      <c r="H24" s="14"/>
      <c r="I24" s="14" t="s">
        <v>1236</v>
      </c>
      <c r="J24" s="14"/>
    </row>
    <row r="25" customFormat="false" ht="14.5" hidden="true" customHeight="false" outlineLevel="0" collapsed="false">
      <c r="A25" s="14" t="s">
        <v>1227</v>
      </c>
      <c r="B25" s="14" t="n">
        <v>5</v>
      </c>
      <c r="C25" s="14" t="n">
        <v>2</v>
      </c>
      <c r="D25" s="14" t="n">
        <v>4</v>
      </c>
      <c r="E25" s="14" t="s">
        <v>1237</v>
      </c>
      <c r="F25" s="14" t="s">
        <v>1238</v>
      </c>
      <c r="G25" s="14"/>
      <c r="H25" s="14"/>
      <c r="I25" s="14" t="s">
        <v>1239</v>
      </c>
      <c r="J25" s="14"/>
    </row>
    <row r="26" customFormat="false" ht="14.5" hidden="true" customHeight="false" outlineLevel="0" collapsed="false">
      <c r="A26" s="14" t="s">
        <v>1227</v>
      </c>
      <c r="B26" s="14" t="n">
        <v>5</v>
      </c>
      <c r="C26" s="14" t="n">
        <v>2</v>
      </c>
      <c r="D26" s="14" t="n">
        <v>5</v>
      </c>
      <c r="E26" s="14" t="s">
        <v>1240</v>
      </c>
      <c r="F26" s="14" t="s">
        <v>1241</v>
      </c>
      <c r="G26" s="14"/>
      <c r="H26" s="14"/>
      <c r="I26" s="14" t="s">
        <v>1242</v>
      </c>
      <c r="J26" s="14"/>
    </row>
    <row r="27" customFormat="false" ht="14.5" hidden="true" customHeight="false" outlineLevel="0" collapsed="false">
      <c r="A27" s="14" t="s">
        <v>1227</v>
      </c>
      <c r="B27" s="14" t="n">
        <v>5</v>
      </c>
      <c r="C27" s="14" t="n">
        <v>2</v>
      </c>
      <c r="D27" s="14" t="n">
        <v>1</v>
      </c>
      <c r="E27" s="14" t="s">
        <v>1243</v>
      </c>
      <c r="F27" s="14" t="s">
        <v>1244</v>
      </c>
      <c r="G27" s="14"/>
      <c r="H27" s="14"/>
      <c r="I27" s="14" t="s">
        <v>1245</v>
      </c>
      <c r="J27" s="14"/>
    </row>
    <row r="28" customFormat="false" ht="14.5" hidden="true" customHeight="false" outlineLevel="0" collapsed="false">
      <c r="A28" s="14" t="s">
        <v>1227</v>
      </c>
      <c r="B28" s="14" t="n">
        <v>5</v>
      </c>
      <c r="C28" s="14" t="n">
        <v>2</v>
      </c>
      <c r="D28" s="14" t="n">
        <v>2</v>
      </c>
      <c r="E28" s="14" t="s">
        <v>1246</v>
      </c>
      <c r="F28" s="14" t="s">
        <v>1244</v>
      </c>
      <c r="G28" s="14"/>
      <c r="H28" s="14"/>
      <c r="I28" s="14" t="s">
        <v>1247</v>
      </c>
      <c r="J28" s="14"/>
    </row>
    <row r="29" customFormat="false" ht="14.5" hidden="true" customHeight="false" outlineLevel="0" collapsed="false">
      <c r="A29" s="14" t="s">
        <v>1227</v>
      </c>
      <c r="B29" s="14" t="n">
        <v>5</v>
      </c>
      <c r="C29" s="14" t="n">
        <v>2</v>
      </c>
      <c r="D29" s="14" t="n">
        <v>3</v>
      </c>
      <c r="E29" s="14" t="s">
        <v>972</v>
      </c>
      <c r="F29" s="14" t="s">
        <v>1244</v>
      </c>
      <c r="G29" s="14"/>
      <c r="H29" s="14"/>
      <c r="I29" s="14" t="s">
        <v>1248</v>
      </c>
      <c r="J29" s="14"/>
    </row>
    <row r="30" customFormat="false" ht="14.5" hidden="true" customHeight="false" outlineLevel="0" collapsed="false">
      <c r="A30" s="14" t="s">
        <v>1227</v>
      </c>
      <c r="B30" s="14" t="n">
        <v>5</v>
      </c>
      <c r="C30" s="14" t="n">
        <v>2</v>
      </c>
      <c r="D30" s="14" t="n">
        <v>4</v>
      </c>
      <c r="E30" s="14" t="s">
        <v>974</v>
      </c>
      <c r="F30" s="14" t="s">
        <v>1244</v>
      </c>
      <c r="G30" s="14"/>
      <c r="H30" s="14"/>
      <c r="I30" s="14" t="s">
        <v>1249</v>
      </c>
      <c r="J30" s="14"/>
    </row>
    <row r="31" customFormat="false" ht="14.5" hidden="true" customHeight="false" outlineLevel="0" collapsed="false">
      <c r="A31" s="14" t="s">
        <v>1227</v>
      </c>
      <c r="B31" s="14" t="n">
        <v>5</v>
      </c>
      <c r="C31" s="14" t="n">
        <v>2</v>
      </c>
      <c r="D31" s="14" t="n">
        <v>5</v>
      </c>
      <c r="E31" s="14" t="s">
        <v>1250</v>
      </c>
      <c r="F31" s="14" t="s">
        <v>1244</v>
      </c>
      <c r="G31" s="14"/>
      <c r="H31" s="14"/>
      <c r="I31" s="14" t="s">
        <v>1251</v>
      </c>
      <c r="J31" s="14"/>
    </row>
    <row r="32" customFormat="false" ht="14.5" hidden="true" customHeight="false" outlineLevel="0" collapsed="false">
      <c r="A32" s="14" t="s">
        <v>1252</v>
      </c>
      <c r="B32" s="14" t="n">
        <v>5</v>
      </c>
      <c r="C32" s="14" t="n">
        <v>3</v>
      </c>
      <c r="D32" s="14" t="n">
        <v>1</v>
      </c>
      <c r="E32" s="14" t="s">
        <v>1253</v>
      </c>
      <c r="F32" s="14" t="s">
        <v>1254</v>
      </c>
      <c r="G32" s="14"/>
      <c r="H32" s="14"/>
      <c r="I32" s="14" t="s">
        <v>1255</v>
      </c>
      <c r="J32" s="14"/>
    </row>
    <row r="33" customFormat="false" ht="14.5" hidden="true" customHeight="false" outlineLevel="0" collapsed="false">
      <c r="A33" s="14" t="s">
        <v>1252</v>
      </c>
      <c r="B33" s="14" t="n">
        <v>5</v>
      </c>
      <c r="C33" s="14" t="n">
        <v>3</v>
      </c>
      <c r="D33" s="14" t="n">
        <v>2</v>
      </c>
      <c r="E33" s="14" t="s">
        <v>1256</v>
      </c>
      <c r="F33" s="14" t="s">
        <v>1257</v>
      </c>
      <c r="G33" s="14"/>
      <c r="H33" s="14"/>
      <c r="I33" s="14" t="s">
        <v>1258</v>
      </c>
      <c r="J33" s="14"/>
    </row>
    <row r="34" customFormat="false" ht="14.5" hidden="true" customHeight="false" outlineLevel="0" collapsed="false">
      <c r="A34" s="14" t="s">
        <v>1252</v>
      </c>
      <c r="B34" s="14" t="n">
        <v>5</v>
      </c>
      <c r="C34" s="14" t="n">
        <v>3</v>
      </c>
      <c r="D34" s="14" t="n">
        <v>3</v>
      </c>
      <c r="E34" s="14" t="s">
        <v>1259</v>
      </c>
      <c r="F34" s="14" t="s">
        <v>1174</v>
      </c>
      <c r="G34" s="14"/>
      <c r="H34" s="14"/>
      <c r="I34" s="14" t="s">
        <v>1260</v>
      </c>
      <c r="J34" s="14"/>
    </row>
    <row r="35" customFormat="false" ht="14.5" hidden="false" customHeight="false" outlineLevel="0" collapsed="false">
      <c r="A35" s="14" t="s">
        <v>1252</v>
      </c>
      <c r="B35" s="14" t="n">
        <v>5</v>
      </c>
      <c r="C35" s="14" t="n">
        <v>3</v>
      </c>
      <c r="D35" s="14" t="n">
        <v>4</v>
      </c>
      <c r="E35" s="14" t="s">
        <v>1261</v>
      </c>
      <c r="F35" s="14" t="s">
        <v>1262</v>
      </c>
      <c r="G35" s="14"/>
      <c r="H35" s="14"/>
      <c r="I35" s="14" t="s">
        <v>1263</v>
      </c>
      <c r="J35" s="14"/>
    </row>
    <row r="36" customFormat="false" ht="14.5" hidden="true" customHeight="false" outlineLevel="0" collapsed="false">
      <c r="A36" s="14" t="s">
        <v>1252</v>
      </c>
      <c r="B36" s="14" t="n">
        <v>5</v>
      </c>
      <c r="C36" s="14" t="n">
        <v>3</v>
      </c>
      <c r="D36" s="14" t="n">
        <v>1</v>
      </c>
      <c r="E36" s="14" t="s">
        <v>1264</v>
      </c>
      <c r="F36" s="14" t="s">
        <v>1265</v>
      </c>
      <c r="G36" s="14"/>
      <c r="H36" s="14"/>
      <c r="I36" s="14" t="s">
        <v>1266</v>
      </c>
      <c r="J36" s="14"/>
    </row>
    <row r="37" customFormat="false" ht="14.5" hidden="true" customHeight="false" outlineLevel="0" collapsed="false">
      <c r="A37" s="14" t="s">
        <v>1252</v>
      </c>
      <c r="B37" s="14" t="n">
        <v>5</v>
      </c>
      <c r="C37" s="14" t="n">
        <v>3</v>
      </c>
      <c r="D37" s="14" t="n">
        <v>2</v>
      </c>
      <c r="E37" s="14" t="s">
        <v>1267</v>
      </c>
      <c r="F37" s="14" t="s">
        <v>1268</v>
      </c>
      <c r="G37" s="14"/>
      <c r="H37" s="14"/>
      <c r="I37" s="14" t="s">
        <v>1269</v>
      </c>
      <c r="J37" s="14"/>
    </row>
    <row r="38" customFormat="false" ht="14.5" hidden="true" customHeight="false" outlineLevel="0" collapsed="false">
      <c r="A38" s="14" t="s">
        <v>1252</v>
      </c>
      <c r="B38" s="14" t="n">
        <v>5</v>
      </c>
      <c r="C38" s="14" t="n">
        <v>3</v>
      </c>
      <c r="D38" s="14" t="n">
        <v>3</v>
      </c>
      <c r="E38" s="14" t="s">
        <v>1270</v>
      </c>
      <c r="F38" s="14" t="s">
        <v>1271</v>
      </c>
      <c r="G38" s="14"/>
      <c r="H38" s="14"/>
      <c r="I38" s="14" t="s">
        <v>1272</v>
      </c>
      <c r="J38" s="14"/>
    </row>
    <row r="39" customFormat="false" ht="14.5" hidden="true" customHeight="false" outlineLevel="0" collapsed="false">
      <c r="A39" s="14" t="s">
        <v>1252</v>
      </c>
      <c r="B39" s="14" t="n">
        <v>5</v>
      </c>
      <c r="C39" s="14" t="n">
        <v>3</v>
      </c>
      <c r="D39" s="14" t="n">
        <v>4</v>
      </c>
      <c r="E39" s="14" t="s">
        <v>1273</v>
      </c>
      <c r="F39" s="14" t="s">
        <v>1274</v>
      </c>
      <c r="G39" s="14"/>
      <c r="H39" s="14"/>
      <c r="I39" s="14" t="s">
        <v>1275</v>
      </c>
      <c r="J39" s="14"/>
    </row>
    <row r="40" customFormat="false" ht="14.5" hidden="true" customHeight="false" outlineLevel="0" collapsed="false">
      <c r="A40" s="14" t="s">
        <v>1252</v>
      </c>
      <c r="B40" s="14" t="n">
        <v>5</v>
      </c>
      <c r="C40" s="14" t="n">
        <v>3</v>
      </c>
      <c r="D40" s="14" t="n">
        <v>5</v>
      </c>
      <c r="E40" s="14" t="s">
        <v>1276</v>
      </c>
      <c r="F40" s="14" t="s">
        <v>1277</v>
      </c>
      <c r="G40" s="14"/>
      <c r="H40" s="14"/>
      <c r="I40" s="14" t="s">
        <v>1278</v>
      </c>
      <c r="J40" s="14"/>
    </row>
    <row r="41" customFormat="false" ht="14.5" hidden="true" customHeight="false" outlineLevel="0" collapsed="false">
      <c r="A41" s="14" t="s">
        <v>1252</v>
      </c>
      <c r="B41" s="14" t="n">
        <v>5</v>
      </c>
      <c r="C41" s="14" t="n">
        <v>3</v>
      </c>
      <c r="D41" s="14" t="n">
        <v>6</v>
      </c>
      <c r="E41" s="14" t="s">
        <v>1279</v>
      </c>
      <c r="F41" s="14" t="s">
        <v>1280</v>
      </c>
      <c r="G41" s="14"/>
      <c r="H41" s="14"/>
      <c r="I41" s="14" t="s">
        <v>1281</v>
      </c>
      <c r="J41" s="14"/>
    </row>
    <row r="42" customFormat="false" ht="14.5" hidden="false" customHeight="false" outlineLevel="0" collapsed="false">
      <c r="A42" s="14" t="s">
        <v>1252</v>
      </c>
      <c r="B42" s="14" t="n">
        <v>5</v>
      </c>
      <c r="C42" s="14" t="n">
        <v>3</v>
      </c>
      <c r="D42" s="14" t="n">
        <v>7</v>
      </c>
      <c r="E42" s="14" t="s">
        <v>1282</v>
      </c>
      <c r="F42" s="14" t="s">
        <v>1283</v>
      </c>
      <c r="G42" s="14"/>
      <c r="H42" s="14"/>
      <c r="I42" s="14" t="s">
        <v>1284</v>
      </c>
      <c r="J42" s="14"/>
    </row>
    <row r="43" customFormat="false" ht="14.5" hidden="false" customHeight="false" outlineLevel="0" collapsed="false">
      <c r="A43" s="14" t="s">
        <v>1285</v>
      </c>
      <c r="B43" s="14" t="n">
        <v>14</v>
      </c>
      <c r="C43" s="14" t="n">
        <v>1</v>
      </c>
      <c r="D43" s="14" t="n">
        <v>1</v>
      </c>
      <c r="E43" s="14" t="s">
        <v>1286</v>
      </c>
      <c r="F43" s="14" t="s">
        <v>1205</v>
      </c>
      <c r="G43" s="14"/>
      <c r="H43" s="14"/>
      <c r="I43" s="14" t="s">
        <v>1287</v>
      </c>
      <c r="J43" s="14"/>
    </row>
    <row r="44" customFormat="false" ht="14.5" hidden="false" customHeight="false" outlineLevel="0" collapsed="false">
      <c r="A44" s="14" t="s">
        <v>1285</v>
      </c>
      <c r="B44" s="14" t="n">
        <v>14</v>
      </c>
      <c r="C44" s="14" t="n">
        <v>1</v>
      </c>
      <c r="D44" s="14" t="n">
        <v>2</v>
      </c>
      <c r="E44" s="14" t="s">
        <v>1288</v>
      </c>
      <c r="F44" s="14" t="s">
        <v>1289</v>
      </c>
      <c r="G44" s="14"/>
      <c r="H44" s="14"/>
      <c r="I44" s="14" t="s">
        <v>1290</v>
      </c>
      <c r="J44" s="14"/>
    </row>
    <row r="45" customFormat="false" ht="14.5" hidden="false" customHeight="false" outlineLevel="0" collapsed="false">
      <c r="A45" s="14" t="s">
        <v>1285</v>
      </c>
      <c r="B45" s="14" t="n">
        <v>14</v>
      </c>
      <c r="C45" s="14" t="n">
        <v>1</v>
      </c>
      <c r="D45" s="14" t="n">
        <v>3</v>
      </c>
      <c r="E45" s="14" t="s">
        <v>1288</v>
      </c>
      <c r="F45" s="14" t="s">
        <v>1289</v>
      </c>
      <c r="G45" s="14"/>
      <c r="H45" s="14"/>
      <c r="I45" s="14" t="s">
        <v>1291</v>
      </c>
      <c r="J45" s="14"/>
    </row>
    <row r="46" customFormat="false" ht="14.5" hidden="false" customHeight="false" outlineLevel="0" collapsed="false">
      <c r="A46" s="14" t="s">
        <v>1285</v>
      </c>
      <c r="B46" s="14" t="n">
        <v>14</v>
      </c>
      <c r="C46" s="14" t="n">
        <v>1</v>
      </c>
      <c r="D46" s="14" t="n">
        <v>4</v>
      </c>
      <c r="E46" s="14" t="s">
        <v>1288</v>
      </c>
      <c r="F46" s="14" t="s">
        <v>1292</v>
      </c>
      <c r="G46" s="14"/>
      <c r="H46" s="14"/>
      <c r="I46" s="14" t="s">
        <v>1293</v>
      </c>
      <c r="J46" s="14"/>
    </row>
    <row r="47" customFormat="false" ht="14.5" hidden="false" customHeight="false" outlineLevel="0" collapsed="false">
      <c r="A47" s="14" t="s">
        <v>1285</v>
      </c>
      <c r="B47" s="14" t="n">
        <v>14</v>
      </c>
      <c r="C47" s="14" t="n">
        <v>1</v>
      </c>
      <c r="D47" s="14" t="n">
        <v>5</v>
      </c>
      <c r="E47" s="14" t="s">
        <v>1294</v>
      </c>
      <c r="F47" s="14" t="s">
        <v>1289</v>
      </c>
      <c r="G47" s="14"/>
      <c r="H47" s="14"/>
      <c r="I47" s="14" t="s">
        <v>1295</v>
      </c>
      <c r="J47" s="14"/>
    </row>
    <row r="48" customFormat="false" ht="14.5" hidden="false" customHeight="false" outlineLevel="0" collapsed="false">
      <c r="A48" s="14" t="s">
        <v>1285</v>
      </c>
      <c r="B48" s="14" t="n">
        <v>14</v>
      </c>
      <c r="C48" s="14" t="n">
        <v>1</v>
      </c>
      <c r="D48" s="14" t="n">
        <v>1</v>
      </c>
      <c r="E48" s="14" t="s">
        <v>1296</v>
      </c>
      <c r="F48" s="14" t="s">
        <v>1205</v>
      </c>
      <c r="G48" s="14"/>
      <c r="H48" s="14"/>
      <c r="I48" s="14" t="s">
        <v>1297</v>
      </c>
      <c r="J48" s="14"/>
    </row>
    <row r="49" customFormat="false" ht="14.5" hidden="false" customHeight="false" outlineLevel="0" collapsed="false">
      <c r="A49" s="14" t="s">
        <v>1285</v>
      </c>
      <c r="B49" s="14" t="n">
        <v>14</v>
      </c>
      <c r="C49" s="14" t="n">
        <v>1</v>
      </c>
      <c r="D49" s="14" t="n">
        <v>2</v>
      </c>
      <c r="E49" s="14" t="s">
        <v>1298</v>
      </c>
      <c r="F49" s="14" t="s">
        <v>1289</v>
      </c>
      <c r="G49" s="14"/>
      <c r="H49" s="14"/>
      <c r="I49" s="14" t="s">
        <v>1299</v>
      </c>
      <c r="J49" s="14"/>
    </row>
    <row r="50" customFormat="false" ht="14.5" hidden="false" customHeight="false" outlineLevel="0" collapsed="false">
      <c r="A50" s="14" t="s">
        <v>1285</v>
      </c>
      <c r="B50" s="14" t="n">
        <v>14</v>
      </c>
      <c r="C50" s="14" t="n">
        <v>1</v>
      </c>
      <c r="D50" s="14" t="n">
        <v>3</v>
      </c>
      <c r="E50" s="14" t="s">
        <v>1300</v>
      </c>
      <c r="F50" s="14" t="s">
        <v>1289</v>
      </c>
      <c r="G50" s="14"/>
      <c r="H50" s="14"/>
      <c r="I50" s="14" t="s">
        <v>1301</v>
      </c>
      <c r="J50" s="14"/>
    </row>
    <row r="51" customFormat="false" ht="14.5" hidden="false" customHeight="false" outlineLevel="0" collapsed="false">
      <c r="A51" s="14" t="s">
        <v>1285</v>
      </c>
      <c r="B51" s="14" t="n">
        <v>14</v>
      </c>
      <c r="C51" s="14" t="n">
        <v>1</v>
      </c>
      <c r="D51" s="14" t="n">
        <v>4</v>
      </c>
      <c r="E51" s="14" t="s">
        <v>1288</v>
      </c>
      <c r="F51" s="14" t="s">
        <v>1292</v>
      </c>
      <c r="G51" s="14"/>
      <c r="H51" s="14"/>
      <c r="I51" s="14" t="s">
        <v>1302</v>
      </c>
      <c r="J51" s="14"/>
    </row>
    <row r="52" customFormat="false" ht="14.5" hidden="false" customHeight="false" outlineLevel="0" collapsed="false">
      <c r="A52" s="14" t="s">
        <v>1285</v>
      </c>
      <c r="B52" s="14" t="n">
        <v>14</v>
      </c>
      <c r="C52" s="14" t="n">
        <v>1</v>
      </c>
      <c r="D52" s="14" t="n">
        <v>5</v>
      </c>
      <c r="E52" s="14" t="s">
        <v>1303</v>
      </c>
      <c r="F52" s="14" t="s">
        <v>1289</v>
      </c>
      <c r="G52" s="14"/>
      <c r="H52" s="14"/>
      <c r="I52" s="14" t="s">
        <v>1304</v>
      </c>
      <c r="J52" s="14"/>
    </row>
    <row r="53" customFormat="false" ht="14.5" hidden="false" customHeight="false" outlineLevel="0" collapsed="false">
      <c r="A53" s="14" t="s">
        <v>1305</v>
      </c>
      <c r="B53" s="14" t="n">
        <v>14</v>
      </c>
      <c r="C53" s="14" t="n">
        <v>3</v>
      </c>
      <c r="D53" s="14" t="n">
        <v>1</v>
      </c>
      <c r="E53" s="14" t="s">
        <v>1288</v>
      </c>
      <c r="F53" s="14" t="s">
        <v>1306</v>
      </c>
      <c r="G53" s="14"/>
      <c r="H53" s="14"/>
      <c r="I53" s="14" t="s">
        <v>1307</v>
      </c>
      <c r="J53" s="14"/>
    </row>
    <row r="54" customFormat="false" ht="14.5" hidden="true" customHeight="false" outlineLevel="0" collapsed="false">
      <c r="A54" s="14" t="s">
        <v>1305</v>
      </c>
      <c r="B54" s="14" t="n">
        <v>14</v>
      </c>
      <c r="C54" s="14" t="n">
        <v>3</v>
      </c>
      <c r="D54" s="14" t="n">
        <v>2</v>
      </c>
      <c r="E54" s="14" t="s">
        <v>1288</v>
      </c>
      <c r="F54" s="14" t="s">
        <v>1308</v>
      </c>
      <c r="G54" s="14"/>
      <c r="H54" s="14"/>
      <c r="I54" s="14" t="s">
        <v>1309</v>
      </c>
      <c r="J54" s="14"/>
    </row>
    <row r="55" customFormat="false" ht="14.5" hidden="true" customHeight="false" outlineLevel="0" collapsed="false">
      <c r="A55" s="14" t="s">
        <v>1305</v>
      </c>
      <c r="B55" s="14" t="n">
        <v>14</v>
      </c>
      <c r="C55" s="14" t="n">
        <v>3</v>
      </c>
      <c r="D55" s="14" t="n">
        <v>3</v>
      </c>
      <c r="E55" s="14" t="s">
        <v>1294</v>
      </c>
      <c r="F55" s="14" t="s">
        <v>1310</v>
      </c>
      <c r="G55" s="14"/>
      <c r="H55" s="14"/>
      <c r="I55" s="14" t="s">
        <v>1311</v>
      </c>
      <c r="J55" s="14"/>
    </row>
    <row r="56" customFormat="false" ht="14.5" hidden="false" customHeight="false" outlineLevel="0" collapsed="false">
      <c r="A56" s="14" t="s">
        <v>1305</v>
      </c>
      <c r="B56" s="14" t="n">
        <v>14</v>
      </c>
      <c r="C56" s="14" t="n">
        <v>3</v>
      </c>
      <c r="D56" s="14" t="n">
        <v>1</v>
      </c>
      <c r="E56" s="14" t="s">
        <v>1312</v>
      </c>
      <c r="F56" s="14" t="s">
        <v>1205</v>
      </c>
      <c r="G56" s="14"/>
      <c r="H56" s="14"/>
      <c r="I56" s="14" t="s">
        <v>1313</v>
      </c>
      <c r="J56" s="14"/>
    </row>
    <row r="57" customFormat="false" ht="14.5" hidden="false" customHeight="false" outlineLevel="0" collapsed="false">
      <c r="A57" s="14" t="s">
        <v>1305</v>
      </c>
      <c r="B57" s="14" t="n">
        <v>14</v>
      </c>
      <c r="C57" s="14" t="n">
        <v>3</v>
      </c>
      <c r="D57" s="14" t="n">
        <v>2</v>
      </c>
      <c r="E57" s="14" t="s">
        <v>1314</v>
      </c>
      <c r="F57" s="14" t="s">
        <v>1205</v>
      </c>
      <c r="G57" s="14"/>
      <c r="H57" s="14"/>
      <c r="I57" s="14" t="s">
        <v>1315</v>
      </c>
      <c r="J57" s="14"/>
    </row>
    <row r="58" customFormat="false" ht="14.5" hidden="false" customHeight="false" outlineLevel="0" collapsed="false">
      <c r="A58" s="14" t="s">
        <v>1305</v>
      </c>
      <c r="B58" s="14" t="n">
        <v>14</v>
      </c>
      <c r="C58" s="14" t="n">
        <v>3</v>
      </c>
      <c r="D58" s="14" t="n">
        <v>3</v>
      </c>
      <c r="E58" s="14" t="s">
        <v>1288</v>
      </c>
      <c r="F58" s="14" t="s">
        <v>1306</v>
      </c>
      <c r="G58" s="14"/>
      <c r="H58" s="14"/>
      <c r="I58" s="14" t="s">
        <v>1316</v>
      </c>
      <c r="J58" s="14"/>
    </row>
    <row r="59" customFormat="false" ht="14.5" hidden="true" customHeight="false" outlineLevel="0" collapsed="false">
      <c r="A59" s="14" t="s">
        <v>1305</v>
      </c>
      <c r="B59" s="14" t="n">
        <v>14</v>
      </c>
      <c r="C59" s="14" t="n">
        <v>3</v>
      </c>
      <c r="D59" s="14" t="n">
        <v>4</v>
      </c>
      <c r="E59" s="14" t="s">
        <v>1288</v>
      </c>
      <c r="F59" s="14" t="s">
        <v>1308</v>
      </c>
      <c r="G59" s="14"/>
      <c r="H59" s="14"/>
      <c r="I59" s="14" t="s">
        <v>1317</v>
      </c>
      <c r="J59" s="14"/>
    </row>
    <row r="60" customFormat="false" ht="14.5" hidden="true" customHeight="false" outlineLevel="0" collapsed="false">
      <c r="A60" s="14" t="s">
        <v>1305</v>
      </c>
      <c r="B60" s="14" t="n">
        <v>14</v>
      </c>
      <c r="C60" s="14" t="n">
        <v>3</v>
      </c>
      <c r="D60" s="14" t="n">
        <v>5</v>
      </c>
      <c r="E60" s="14" t="s">
        <v>1294</v>
      </c>
      <c r="F60" s="14" t="s">
        <v>1310</v>
      </c>
      <c r="G60" s="14"/>
      <c r="H60" s="14"/>
      <c r="I60" s="14" t="s">
        <v>1318</v>
      </c>
      <c r="J60" s="14"/>
    </row>
    <row r="61" customFormat="false" ht="14.5" hidden="true" customHeight="false" outlineLevel="0" collapsed="false">
      <c r="A61" s="14" t="s">
        <v>909</v>
      </c>
      <c r="B61" s="14" t="n">
        <v>16</v>
      </c>
      <c r="C61" s="14" t="n">
        <v>1</v>
      </c>
      <c r="D61" s="14" t="n">
        <v>1</v>
      </c>
      <c r="E61" s="14" t="s">
        <v>916</v>
      </c>
      <c r="F61" s="14" t="s">
        <v>1319</v>
      </c>
      <c r="G61" s="14"/>
      <c r="H61" s="14"/>
      <c r="I61" s="14" t="s">
        <v>1320</v>
      </c>
      <c r="J61" s="14"/>
    </row>
    <row r="62" customFormat="false" ht="14.5" hidden="true" customHeight="false" outlineLevel="0" collapsed="false">
      <c r="A62" s="14" t="s">
        <v>909</v>
      </c>
      <c r="B62" s="14" t="n">
        <v>16</v>
      </c>
      <c r="C62" s="14" t="n">
        <v>1</v>
      </c>
      <c r="D62" s="14" t="n">
        <v>2</v>
      </c>
      <c r="E62" s="14" t="s">
        <v>1321</v>
      </c>
      <c r="F62" s="14" t="s">
        <v>1322</v>
      </c>
      <c r="G62" s="14"/>
      <c r="H62" s="14"/>
      <c r="I62" s="14" t="s">
        <v>1323</v>
      </c>
      <c r="J62" s="14"/>
    </row>
    <row r="63" customFormat="false" ht="14.5" hidden="false" customHeight="false" outlineLevel="0" collapsed="false">
      <c r="A63" s="14" t="s">
        <v>909</v>
      </c>
      <c r="B63" s="14" t="n">
        <v>16</v>
      </c>
      <c r="C63" s="14" t="n">
        <v>1</v>
      </c>
      <c r="D63" s="14" t="n">
        <v>1</v>
      </c>
      <c r="E63" s="14" t="s">
        <v>1256</v>
      </c>
      <c r="F63" s="14" t="s">
        <v>1324</v>
      </c>
      <c r="G63" s="14"/>
      <c r="H63" s="14"/>
      <c r="I63" s="14" t="s">
        <v>1325</v>
      </c>
      <c r="J63" s="14"/>
    </row>
    <row r="64" customFormat="false" ht="14.5" hidden="true" customHeight="false" outlineLevel="0" collapsed="false">
      <c r="A64" s="14" t="s">
        <v>909</v>
      </c>
      <c r="B64" s="14" t="n">
        <v>16</v>
      </c>
      <c r="C64" s="14" t="n">
        <v>1</v>
      </c>
      <c r="D64" s="14" t="n">
        <v>2</v>
      </c>
      <c r="E64" s="14" t="s">
        <v>1256</v>
      </c>
      <c r="F64" s="14" t="s">
        <v>1235</v>
      </c>
      <c r="G64" s="14"/>
      <c r="H64" s="14"/>
      <c r="I64" s="14" t="s">
        <v>1326</v>
      </c>
      <c r="J64" s="14"/>
    </row>
    <row r="65" customFormat="false" ht="14.5" hidden="true" customHeight="false" outlineLevel="0" collapsed="false">
      <c r="A65" s="14" t="s">
        <v>909</v>
      </c>
      <c r="B65" s="14" t="n">
        <v>16</v>
      </c>
      <c r="C65" s="14" t="n">
        <v>1</v>
      </c>
      <c r="D65" s="14" t="n">
        <v>3</v>
      </c>
      <c r="E65" s="14" t="s">
        <v>1107</v>
      </c>
      <c r="F65" s="14" t="s">
        <v>1327</v>
      </c>
      <c r="G65" s="14"/>
      <c r="H65" s="14"/>
      <c r="I65" s="14" t="s">
        <v>1328</v>
      </c>
      <c r="J65" s="14"/>
    </row>
    <row r="66" customFormat="false" ht="14.5" hidden="false" customHeight="false" outlineLevel="0" collapsed="false">
      <c r="A66" s="14" t="s">
        <v>909</v>
      </c>
      <c r="B66" s="14" t="n">
        <v>16</v>
      </c>
      <c r="C66" s="14" t="n">
        <v>1</v>
      </c>
      <c r="D66" s="14" t="n">
        <v>4</v>
      </c>
      <c r="E66" s="14" t="s">
        <v>1256</v>
      </c>
      <c r="F66" s="14" t="s">
        <v>1329</v>
      </c>
      <c r="G66" s="14"/>
      <c r="H66" s="14"/>
      <c r="I66" s="14" t="s">
        <v>1330</v>
      </c>
      <c r="J66" s="14"/>
    </row>
    <row r="67" customFormat="false" ht="14.5" hidden="false" customHeight="false" outlineLevel="0" collapsed="false">
      <c r="A67" s="14" t="s">
        <v>909</v>
      </c>
      <c r="B67" s="14" t="n">
        <v>16</v>
      </c>
      <c r="C67" s="14" t="n">
        <v>1</v>
      </c>
      <c r="D67" s="14" t="n">
        <v>1</v>
      </c>
      <c r="E67" s="14" t="s">
        <v>1331</v>
      </c>
      <c r="F67" s="14" t="s">
        <v>1332</v>
      </c>
      <c r="G67" s="14"/>
      <c r="H67" s="14"/>
      <c r="I67" s="14" t="s">
        <v>1333</v>
      </c>
      <c r="J67" s="14"/>
    </row>
    <row r="68" customFormat="false" ht="14.5" hidden="false" customHeight="false" outlineLevel="0" collapsed="false">
      <c r="A68" s="14" t="s">
        <v>909</v>
      </c>
      <c r="B68" s="14" t="n">
        <v>16</v>
      </c>
      <c r="C68" s="14" t="n">
        <v>1</v>
      </c>
      <c r="D68" s="14" t="n">
        <v>2</v>
      </c>
      <c r="E68" s="14" t="s">
        <v>1334</v>
      </c>
      <c r="F68" s="14" t="s">
        <v>1335</v>
      </c>
      <c r="G68" s="14"/>
      <c r="H68" s="14"/>
      <c r="I68" s="14" t="s">
        <v>1336</v>
      </c>
      <c r="J68" s="14"/>
    </row>
    <row r="69" customFormat="false" ht="14.5" hidden="false" customHeight="false" outlineLevel="0" collapsed="false">
      <c r="A69" s="14" t="s">
        <v>909</v>
      </c>
      <c r="B69" s="14" t="n">
        <v>16</v>
      </c>
      <c r="C69" s="14" t="n">
        <v>1</v>
      </c>
      <c r="D69" s="14" t="n">
        <v>3</v>
      </c>
      <c r="E69" s="14" t="s">
        <v>1337</v>
      </c>
      <c r="F69" s="14" t="s">
        <v>1338</v>
      </c>
      <c r="G69" s="14"/>
      <c r="H69" s="14"/>
      <c r="I69" s="14" t="s">
        <v>1339</v>
      </c>
      <c r="J69" s="14"/>
    </row>
    <row r="70" customFormat="false" ht="14.5" hidden="false" customHeight="false" outlineLevel="0" collapsed="false">
      <c r="A70" s="14" t="s">
        <v>909</v>
      </c>
      <c r="B70" s="14" t="n">
        <v>16</v>
      </c>
      <c r="C70" s="14" t="n">
        <v>1</v>
      </c>
      <c r="D70" s="14" t="n">
        <v>4</v>
      </c>
      <c r="E70" s="14" t="s">
        <v>1340</v>
      </c>
      <c r="F70" s="14" t="s">
        <v>1341</v>
      </c>
      <c r="G70" s="14"/>
      <c r="H70" s="14"/>
      <c r="I70" s="14" t="s">
        <v>1342</v>
      </c>
      <c r="J70" s="14"/>
    </row>
    <row r="71" customFormat="false" ht="14.5" hidden="false" customHeight="false" outlineLevel="0" collapsed="false">
      <c r="A71" s="14" t="s">
        <v>909</v>
      </c>
      <c r="B71" s="14" t="n">
        <v>16</v>
      </c>
      <c r="C71" s="14" t="n">
        <v>1</v>
      </c>
      <c r="D71" s="14" t="n">
        <v>1</v>
      </c>
      <c r="E71" s="14" t="s">
        <v>1343</v>
      </c>
      <c r="F71" s="14" t="s">
        <v>1341</v>
      </c>
      <c r="G71" s="14"/>
      <c r="H71" s="14"/>
      <c r="I71" s="14" t="s">
        <v>1344</v>
      </c>
      <c r="J71" s="14"/>
    </row>
    <row r="72" customFormat="false" ht="14.5" hidden="false" customHeight="false" outlineLevel="0" collapsed="false">
      <c r="A72" s="14" t="s">
        <v>909</v>
      </c>
      <c r="B72" s="14" t="n">
        <v>16</v>
      </c>
      <c r="C72" s="14" t="n">
        <v>1</v>
      </c>
      <c r="D72" s="14" t="n">
        <v>2</v>
      </c>
      <c r="E72" s="14" t="s">
        <v>1345</v>
      </c>
      <c r="F72" s="14" t="s">
        <v>1338</v>
      </c>
      <c r="G72" s="14"/>
      <c r="H72" s="14"/>
      <c r="I72" s="14" t="s">
        <v>1346</v>
      </c>
      <c r="J72" s="14"/>
    </row>
    <row r="73" customFormat="false" ht="14.5" hidden="false" customHeight="false" outlineLevel="0" collapsed="false">
      <c r="A73" s="14" t="s">
        <v>909</v>
      </c>
      <c r="B73" s="14" t="n">
        <v>16</v>
      </c>
      <c r="C73" s="14" t="n">
        <v>1</v>
      </c>
      <c r="D73" s="14" t="n">
        <v>3</v>
      </c>
      <c r="E73" s="14" t="s">
        <v>1347</v>
      </c>
      <c r="F73" s="14" t="s">
        <v>1332</v>
      </c>
      <c r="G73" s="14"/>
      <c r="H73" s="14"/>
      <c r="I73" s="14" t="s">
        <v>1348</v>
      </c>
      <c r="J73" s="14"/>
    </row>
    <row r="74" customFormat="false" ht="14.5" hidden="false" customHeight="false" outlineLevel="0" collapsed="false">
      <c r="A74" s="14" t="s">
        <v>909</v>
      </c>
      <c r="B74" s="14" t="n">
        <v>16</v>
      </c>
      <c r="C74" s="14" t="n">
        <v>1</v>
      </c>
      <c r="D74" s="14" t="n">
        <v>4</v>
      </c>
      <c r="E74" s="14" t="s">
        <v>1349</v>
      </c>
      <c r="F74" s="14" t="s">
        <v>1338</v>
      </c>
      <c r="G74" s="14"/>
      <c r="H74" s="14"/>
      <c r="I74" s="14" t="s">
        <v>1350</v>
      </c>
      <c r="J74" s="14"/>
    </row>
    <row r="75" customFormat="false" ht="14.5" hidden="false" customHeight="false" outlineLevel="0" collapsed="false">
      <c r="A75" s="14" t="s">
        <v>914</v>
      </c>
      <c r="B75" s="14" t="n">
        <v>16</v>
      </c>
      <c r="C75" s="14" t="n">
        <v>2</v>
      </c>
      <c r="D75" s="14" t="n">
        <v>2</v>
      </c>
      <c r="E75" s="14" t="s">
        <v>1331</v>
      </c>
      <c r="F75" s="14" t="s">
        <v>1289</v>
      </c>
      <c r="G75" s="14"/>
      <c r="H75" s="14"/>
      <c r="I75" s="14" t="s">
        <v>1351</v>
      </c>
      <c r="J75" s="14"/>
    </row>
    <row r="76" customFormat="false" ht="14.5" hidden="false" customHeight="false" outlineLevel="0" collapsed="false">
      <c r="A76" s="14" t="s">
        <v>914</v>
      </c>
      <c r="B76" s="14" t="n">
        <v>16</v>
      </c>
      <c r="C76" s="14" t="n">
        <v>2</v>
      </c>
      <c r="D76" s="14" t="n">
        <v>3</v>
      </c>
      <c r="E76" s="14" t="s">
        <v>1340</v>
      </c>
      <c r="F76" s="14" t="s">
        <v>1335</v>
      </c>
      <c r="G76" s="14"/>
      <c r="H76" s="14"/>
      <c r="I76" s="14" t="s">
        <v>1352</v>
      </c>
      <c r="J76" s="14"/>
    </row>
    <row r="77" customFormat="false" ht="14.5" hidden="false" customHeight="false" outlineLevel="0" collapsed="false">
      <c r="A77" s="14" t="s">
        <v>914</v>
      </c>
      <c r="B77" s="14" t="n">
        <v>16</v>
      </c>
      <c r="C77" s="14" t="n">
        <v>2</v>
      </c>
      <c r="D77" s="14" t="n">
        <v>1</v>
      </c>
      <c r="E77" s="14" t="s">
        <v>1353</v>
      </c>
      <c r="F77" s="14" t="s">
        <v>1289</v>
      </c>
      <c r="G77" s="14"/>
      <c r="H77" s="14"/>
      <c r="I77" s="14" t="s">
        <v>1354</v>
      </c>
      <c r="J77" s="14"/>
    </row>
    <row r="78" customFormat="false" ht="14.5" hidden="false" customHeight="false" outlineLevel="0" collapsed="false">
      <c r="A78" s="14" t="s">
        <v>914</v>
      </c>
      <c r="B78" s="14" t="n">
        <v>16</v>
      </c>
      <c r="C78" s="14" t="n">
        <v>2</v>
      </c>
      <c r="D78" s="14" t="n">
        <v>2</v>
      </c>
      <c r="E78" s="14" t="s">
        <v>1355</v>
      </c>
      <c r="F78" s="14" t="s">
        <v>1205</v>
      </c>
      <c r="G78" s="14"/>
      <c r="H78" s="14"/>
      <c r="I78" s="14" t="s">
        <v>1356</v>
      </c>
      <c r="J78" s="14"/>
    </row>
    <row r="79" customFormat="false" ht="14.5" hidden="false" customHeight="false" outlineLevel="0" collapsed="false">
      <c r="A79" s="14" t="s">
        <v>1357</v>
      </c>
      <c r="B79" s="14" t="n">
        <v>17</v>
      </c>
      <c r="C79" s="14" t="n">
        <v>3</v>
      </c>
      <c r="D79" s="14" t="n">
        <v>1</v>
      </c>
      <c r="E79" s="14" t="s">
        <v>1358</v>
      </c>
      <c r="F79" s="14" t="s">
        <v>1359</v>
      </c>
      <c r="G79" s="14"/>
      <c r="H79" s="14"/>
      <c r="I79" s="14" t="s">
        <v>1360</v>
      </c>
      <c r="J79" s="14"/>
    </row>
    <row r="80" customFormat="false" ht="14.5" hidden="false" customHeight="false" outlineLevel="0" collapsed="false">
      <c r="A80" s="14" t="s">
        <v>1357</v>
      </c>
      <c r="B80" s="14" t="n">
        <v>17</v>
      </c>
      <c r="C80" s="14" t="n">
        <v>3</v>
      </c>
      <c r="D80" s="14" t="n">
        <v>2</v>
      </c>
      <c r="E80" s="14" t="s">
        <v>1361</v>
      </c>
      <c r="F80" s="14" t="s">
        <v>1362</v>
      </c>
      <c r="G80" s="14"/>
      <c r="H80" s="14"/>
      <c r="I80" s="14" t="s">
        <v>1363</v>
      </c>
      <c r="J80" s="14"/>
    </row>
    <row r="81" customFormat="false" ht="14.5" hidden="false" customHeight="false" outlineLevel="0" collapsed="false">
      <c r="A81" s="14" t="s">
        <v>1357</v>
      </c>
      <c r="B81" s="14" t="n">
        <v>17</v>
      </c>
      <c r="C81" s="14" t="n">
        <v>3</v>
      </c>
      <c r="D81" s="14" t="n">
        <v>3</v>
      </c>
      <c r="E81" s="14" t="s">
        <v>1364</v>
      </c>
      <c r="F81" s="14" t="s">
        <v>1365</v>
      </c>
      <c r="G81" s="14"/>
      <c r="H81" s="14"/>
      <c r="I81" s="14" t="s">
        <v>1366</v>
      </c>
      <c r="J81" s="14"/>
    </row>
    <row r="82" customFormat="false" ht="14.5" hidden="false" customHeight="false" outlineLevel="0" collapsed="false">
      <c r="A82" s="14" t="s">
        <v>1357</v>
      </c>
      <c r="B82" s="14" t="n">
        <v>17</v>
      </c>
      <c r="C82" s="14" t="n">
        <v>3</v>
      </c>
      <c r="D82" s="14" t="n">
        <v>4</v>
      </c>
      <c r="E82" s="14" t="s">
        <v>1367</v>
      </c>
      <c r="F82" s="14" t="s">
        <v>1362</v>
      </c>
      <c r="G82" s="14"/>
      <c r="H82" s="14"/>
      <c r="I82" s="14" t="s">
        <v>1368</v>
      </c>
      <c r="J82" s="14"/>
    </row>
    <row r="83" customFormat="false" ht="14.5" hidden="false" customHeight="false" outlineLevel="0" collapsed="false">
      <c r="A83" s="14" t="s">
        <v>1369</v>
      </c>
      <c r="B83" s="14" t="n">
        <v>25</v>
      </c>
      <c r="C83" s="14" t="n">
        <v>1</v>
      </c>
      <c r="D83" s="14" t="n">
        <v>1</v>
      </c>
      <c r="E83" s="14" t="s">
        <v>1370</v>
      </c>
      <c r="F83" s="14" t="s">
        <v>1371</v>
      </c>
      <c r="G83" s="14"/>
      <c r="H83" s="14"/>
      <c r="I83" s="14" t="s">
        <v>1372</v>
      </c>
      <c r="J83" s="14"/>
    </row>
    <row r="84" customFormat="false" ht="14.5" hidden="true" customHeight="false" outlineLevel="0" collapsed="false">
      <c r="A84" s="14" t="s">
        <v>1369</v>
      </c>
      <c r="B84" s="14" t="n">
        <v>25</v>
      </c>
      <c r="C84" s="14" t="n">
        <v>1</v>
      </c>
      <c r="D84" s="14" t="n">
        <v>2</v>
      </c>
      <c r="E84" s="14" t="s">
        <v>1373</v>
      </c>
      <c r="F84" s="14" t="s">
        <v>1374</v>
      </c>
      <c r="G84" s="14"/>
      <c r="H84" s="14"/>
      <c r="I84" s="14" t="s">
        <v>1375</v>
      </c>
      <c r="J84" s="14"/>
    </row>
    <row r="85" customFormat="false" ht="14.5" hidden="false" customHeight="false" outlineLevel="0" collapsed="false">
      <c r="A85" s="14" t="s">
        <v>1369</v>
      </c>
      <c r="B85" s="14" t="n">
        <v>25</v>
      </c>
      <c r="C85" s="14" t="n">
        <v>1</v>
      </c>
      <c r="D85" s="14" t="n">
        <v>1</v>
      </c>
      <c r="E85" s="14" t="s">
        <v>1370</v>
      </c>
      <c r="F85" s="14" t="s">
        <v>1371</v>
      </c>
      <c r="G85" s="14"/>
      <c r="H85" s="14"/>
      <c r="I85" s="14" t="s">
        <v>1372</v>
      </c>
      <c r="J85" s="14"/>
    </row>
    <row r="86" customFormat="false" ht="14.5" hidden="true" customHeight="false" outlineLevel="0" collapsed="false">
      <c r="A86" s="14" t="s">
        <v>1369</v>
      </c>
      <c r="B86" s="14" t="n">
        <v>25</v>
      </c>
      <c r="C86" s="14" t="n">
        <v>1</v>
      </c>
      <c r="D86" s="14" t="n">
        <v>2</v>
      </c>
      <c r="E86" s="14" t="s">
        <v>1373</v>
      </c>
      <c r="F86" s="14" t="s">
        <v>1374</v>
      </c>
      <c r="G86" s="14"/>
      <c r="H86" s="14"/>
      <c r="I86" s="14" t="s">
        <v>1375</v>
      </c>
      <c r="J86" s="14"/>
    </row>
    <row r="87" customFormat="false" ht="14.5" hidden="true" customHeight="false" outlineLevel="0" collapsed="false">
      <c r="A87" s="14" t="s">
        <v>1369</v>
      </c>
      <c r="B87" s="14" t="n">
        <v>25</v>
      </c>
      <c r="C87" s="14" t="n">
        <v>1</v>
      </c>
      <c r="D87" s="14" t="n">
        <v>4</v>
      </c>
      <c r="E87" s="14" t="s">
        <v>1376</v>
      </c>
      <c r="F87" s="14" t="s">
        <v>1377</v>
      </c>
      <c r="G87" s="14"/>
      <c r="H87" s="14"/>
      <c r="I87" s="14" t="s">
        <v>1378</v>
      </c>
      <c r="J87" s="14"/>
    </row>
    <row r="88" customFormat="false" ht="14.5" hidden="true" customHeight="false" outlineLevel="0" collapsed="false">
      <c r="A88" s="14" t="s">
        <v>1369</v>
      </c>
      <c r="B88" s="14" t="n">
        <v>25</v>
      </c>
      <c r="C88" s="14" t="n">
        <v>1</v>
      </c>
      <c r="D88" s="14" t="n">
        <v>1</v>
      </c>
      <c r="E88" s="14" t="s">
        <v>1379</v>
      </c>
      <c r="F88" s="14" t="s">
        <v>1380</v>
      </c>
      <c r="G88" s="14"/>
      <c r="H88" s="14"/>
      <c r="I88" s="14" t="s">
        <v>1381</v>
      </c>
      <c r="J88" s="14"/>
    </row>
    <row r="89" customFormat="false" ht="14.5" hidden="false" customHeight="false" outlineLevel="0" collapsed="false">
      <c r="A89" s="14" t="s">
        <v>1369</v>
      </c>
      <c r="B89" s="14" t="n">
        <v>25</v>
      </c>
      <c r="C89" s="14" t="n">
        <v>1</v>
      </c>
      <c r="D89" s="14" t="n">
        <v>2</v>
      </c>
      <c r="E89" s="14" t="s">
        <v>1382</v>
      </c>
      <c r="F89" s="14" t="s">
        <v>1383</v>
      </c>
      <c r="G89" s="14"/>
      <c r="H89" s="14"/>
      <c r="I89" s="14" t="s">
        <v>1384</v>
      </c>
      <c r="J89" s="14"/>
    </row>
    <row r="90" customFormat="false" ht="14.5" hidden="false" customHeight="false" outlineLevel="0" collapsed="false">
      <c r="A90" s="14" t="s">
        <v>1369</v>
      </c>
      <c r="B90" s="14" t="n">
        <v>25</v>
      </c>
      <c r="C90" s="14" t="n">
        <v>1</v>
      </c>
      <c r="D90" s="14" t="n">
        <v>3</v>
      </c>
      <c r="E90" s="14" t="s">
        <v>1385</v>
      </c>
      <c r="F90" s="14" t="s">
        <v>1386</v>
      </c>
      <c r="G90" s="14"/>
      <c r="H90" s="14"/>
      <c r="I90" s="14" t="s">
        <v>1387</v>
      </c>
      <c r="J90" s="14"/>
    </row>
    <row r="91" customFormat="false" ht="14.5" hidden="false" customHeight="false" outlineLevel="0" collapsed="false">
      <c r="A91" s="14" t="s">
        <v>1388</v>
      </c>
      <c r="B91" s="14" t="n">
        <v>25</v>
      </c>
      <c r="C91" s="14" t="n">
        <v>3</v>
      </c>
      <c r="D91" s="14" t="n">
        <v>1</v>
      </c>
      <c r="E91" s="14" t="s">
        <v>1382</v>
      </c>
      <c r="F91" s="14" t="s">
        <v>1389</v>
      </c>
      <c r="G91" s="14"/>
      <c r="H91" s="14"/>
      <c r="I91" s="14" t="s">
        <v>1390</v>
      </c>
      <c r="J91" s="14"/>
    </row>
    <row r="92" customFormat="false" ht="14.5" hidden="true" customHeight="false" outlineLevel="0" collapsed="false">
      <c r="A92" s="14" t="s">
        <v>1391</v>
      </c>
      <c r="B92" s="14" t="n">
        <v>29</v>
      </c>
      <c r="C92" s="14" t="n">
        <v>1</v>
      </c>
      <c r="D92" s="14" t="n">
        <v>1</v>
      </c>
      <c r="E92" s="14" t="s">
        <v>1392</v>
      </c>
      <c r="F92" s="14" t="s">
        <v>1393</v>
      </c>
      <c r="G92" s="14"/>
      <c r="H92" s="14"/>
      <c r="I92" s="14"/>
      <c r="J92" s="14"/>
    </row>
    <row r="93" customFormat="false" ht="14.5" hidden="true" customHeight="false" outlineLevel="0" collapsed="false">
      <c r="A93" s="14" t="s">
        <v>1391</v>
      </c>
      <c r="B93" s="14" t="n">
        <v>29</v>
      </c>
      <c r="C93" s="14" t="n">
        <v>1</v>
      </c>
      <c r="D93" s="14" t="n">
        <v>2</v>
      </c>
      <c r="E93" s="14" t="s">
        <v>1058</v>
      </c>
      <c r="F93" s="14" t="s">
        <v>1322</v>
      </c>
      <c r="G93" s="14"/>
      <c r="H93" s="14"/>
      <c r="I93" s="14"/>
      <c r="J93" s="14"/>
    </row>
    <row r="94" customFormat="false" ht="14.5" hidden="true" customHeight="false" outlineLevel="0" collapsed="false">
      <c r="A94" s="14" t="s">
        <v>1391</v>
      </c>
      <c r="B94" s="14" t="n">
        <v>29</v>
      </c>
      <c r="C94" s="14" t="n">
        <v>1</v>
      </c>
      <c r="D94" s="14" t="n">
        <v>3</v>
      </c>
      <c r="E94" s="14" t="s">
        <v>1394</v>
      </c>
      <c r="F94" s="14" t="s">
        <v>1322</v>
      </c>
      <c r="G94" s="14"/>
      <c r="H94" s="14"/>
      <c r="I94" s="14"/>
      <c r="J94" s="14"/>
    </row>
    <row r="95" customFormat="false" ht="14.5" hidden="true" customHeight="false" outlineLevel="0" collapsed="false">
      <c r="A95" s="14" t="s">
        <v>1391</v>
      </c>
      <c r="B95" s="14" t="n">
        <v>29</v>
      </c>
      <c r="C95" s="14" t="n">
        <v>1</v>
      </c>
      <c r="D95" s="14" t="n">
        <v>4</v>
      </c>
      <c r="E95" s="14" t="s">
        <v>970</v>
      </c>
      <c r="F95" s="14" t="s">
        <v>1322</v>
      </c>
      <c r="G95" s="14"/>
      <c r="H95" s="14"/>
      <c r="I95" s="14"/>
      <c r="J95" s="14"/>
    </row>
    <row r="96" customFormat="false" ht="14.5" hidden="true" customHeight="false" outlineLevel="0" collapsed="false">
      <c r="A96" s="14" t="s">
        <v>1391</v>
      </c>
      <c r="B96" s="14" t="n">
        <v>29</v>
      </c>
      <c r="C96" s="14" t="n">
        <v>1</v>
      </c>
      <c r="D96" s="14" t="n">
        <v>5</v>
      </c>
      <c r="E96" s="14" t="s">
        <v>1394</v>
      </c>
      <c r="F96" s="14" t="s">
        <v>1393</v>
      </c>
      <c r="G96" s="14"/>
      <c r="H96" s="14"/>
      <c r="I96" s="14"/>
      <c r="J96" s="14"/>
    </row>
    <row r="97" customFormat="false" ht="14.5" hidden="true" customHeight="false" outlineLevel="0" collapsed="false">
      <c r="A97" s="14" t="s">
        <v>1395</v>
      </c>
      <c r="B97" s="14" t="n">
        <v>29</v>
      </c>
      <c r="C97" s="14" t="n">
        <v>3</v>
      </c>
      <c r="D97" s="14" t="n">
        <v>1</v>
      </c>
      <c r="E97" s="14" t="s">
        <v>1396</v>
      </c>
      <c r="F97" s="14" t="s">
        <v>1397</v>
      </c>
      <c r="G97" s="14"/>
      <c r="H97" s="14"/>
      <c r="I97" s="14" t="s">
        <v>1398</v>
      </c>
      <c r="J97" s="14"/>
    </row>
    <row r="98" customFormat="false" ht="14.5" hidden="true" customHeight="false" outlineLevel="0" collapsed="false">
      <c r="A98" s="14" t="s">
        <v>1395</v>
      </c>
      <c r="B98" s="14" t="n">
        <v>29</v>
      </c>
      <c r="C98" s="14" t="n">
        <v>3</v>
      </c>
      <c r="D98" s="14" t="n">
        <v>2</v>
      </c>
      <c r="E98" s="14" t="s">
        <v>1399</v>
      </c>
      <c r="F98" s="14" t="s">
        <v>1400</v>
      </c>
      <c r="G98" s="14"/>
      <c r="H98" s="14"/>
      <c r="I98" s="14" t="s">
        <v>1401</v>
      </c>
      <c r="J98" s="14"/>
    </row>
    <row r="99" customFormat="false" ht="14.5" hidden="true" customHeight="false" outlineLevel="0" collapsed="false">
      <c r="A99" s="14" t="s">
        <v>1395</v>
      </c>
      <c r="B99" s="14" t="n">
        <v>29</v>
      </c>
      <c r="C99" s="14" t="n">
        <v>3</v>
      </c>
      <c r="D99" s="14" t="n">
        <v>3</v>
      </c>
      <c r="E99" s="14" t="s">
        <v>1402</v>
      </c>
      <c r="F99" s="14" t="s">
        <v>1403</v>
      </c>
      <c r="G99" s="14"/>
      <c r="H99" s="14"/>
      <c r="I99" s="14" t="s">
        <v>1404</v>
      </c>
      <c r="J99" s="14"/>
    </row>
    <row r="100" customFormat="false" ht="14.5" hidden="true" customHeight="false" outlineLevel="0" collapsed="false">
      <c r="A100" s="14" t="s">
        <v>1395</v>
      </c>
      <c r="B100" s="14" t="n">
        <v>29</v>
      </c>
      <c r="C100" s="14" t="n">
        <v>3</v>
      </c>
      <c r="D100" s="14" t="n">
        <v>1</v>
      </c>
      <c r="E100" s="14" t="s">
        <v>1405</v>
      </c>
      <c r="F100" s="14" t="s">
        <v>1406</v>
      </c>
      <c r="G100" s="14"/>
      <c r="H100" s="14"/>
      <c r="I100" s="14" t="s">
        <v>1407</v>
      </c>
      <c r="J100" s="14"/>
    </row>
    <row r="101" customFormat="false" ht="14.5" hidden="true" customHeight="false" outlineLevel="0" collapsed="false">
      <c r="A101" s="14" t="s">
        <v>1395</v>
      </c>
      <c r="B101" s="14" t="n">
        <v>29</v>
      </c>
      <c r="C101" s="14" t="n">
        <v>3</v>
      </c>
      <c r="D101" s="14" t="n">
        <v>2</v>
      </c>
      <c r="E101" s="14" t="s">
        <v>1408</v>
      </c>
      <c r="F101" s="14" t="s">
        <v>1409</v>
      </c>
      <c r="G101" s="14"/>
      <c r="H101" s="14"/>
      <c r="I101" s="14" t="s">
        <v>1410</v>
      </c>
      <c r="J101" s="14"/>
    </row>
    <row r="102" customFormat="false" ht="14.5" hidden="true" customHeight="false" outlineLevel="0" collapsed="false">
      <c r="A102" s="14" t="s">
        <v>1395</v>
      </c>
      <c r="B102" s="14" t="n">
        <v>29</v>
      </c>
      <c r="C102" s="14" t="n">
        <v>3</v>
      </c>
      <c r="D102" s="14" t="n">
        <v>3</v>
      </c>
      <c r="E102" s="14" t="s">
        <v>1411</v>
      </c>
      <c r="F102" s="14" t="s">
        <v>1412</v>
      </c>
      <c r="G102" s="14"/>
      <c r="H102" s="14"/>
      <c r="I102" s="14" t="s">
        <v>1413</v>
      </c>
      <c r="J102" s="14"/>
    </row>
    <row r="103" customFormat="false" ht="14.5" hidden="true" customHeight="false" outlineLevel="0" collapsed="false">
      <c r="A103" s="14" t="s">
        <v>1395</v>
      </c>
      <c r="B103" s="14" t="n">
        <v>29</v>
      </c>
      <c r="C103" s="14" t="n">
        <v>3</v>
      </c>
      <c r="D103" s="14" t="n">
        <v>4</v>
      </c>
      <c r="E103" s="14" t="s">
        <v>1414</v>
      </c>
      <c r="F103" s="14" t="s">
        <v>1219</v>
      </c>
      <c r="G103" s="14"/>
      <c r="H103" s="14"/>
      <c r="I103" s="14" t="s">
        <v>1415</v>
      </c>
      <c r="J103" s="14"/>
    </row>
    <row r="104" customFormat="false" ht="14.5" hidden="true" customHeight="false" outlineLevel="0" collapsed="false">
      <c r="A104" s="14" t="s">
        <v>1395</v>
      </c>
      <c r="B104" s="14" t="n">
        <v>29</v>
      </c>
      <c r="C104" s="14" t="n">
        <v>3</v>
      </c>
      <c r="D104" s="14" t="n">
        <v>5</v>
      </c>
      <c r="E104" s="14" t="s">
        <v>1416</v>
      </c>
      <c r="F104" s="14" t="s">
        <v>1417</v>
      </c>
      <c r="G104" s="14"/>
      <c r="H104" s="14"/>
      <c r="I104" s="14" t="s">
        <v>1418</v>
      </c>
      <c r="J104" s="14"/>
    </row>
    <row r="105" customFormat="false" ht="14.5" hidden="false" customHeight="false" outlineLevel="0" collapsed="false">
      <c r="A105" s="14" t="s">
        <v>1395</v>
      </c>
      <c r="B105" s="14" t="n">
        <v>29</v>
      </c>
      <c r="C105" s="14" t="n">
        <v>3</v>
      </c>
      <c r="D105" s="14" t="n">
        <v>6</v>
      </c>
      <c r="E105" s="14" t="s">
        <v>1419</v>
      </c>
      <c r="F105" s="14" t="s">
        <v>1420</v>
      </c>
      <c r="G105" s="14"/>
      <c r="H105" s="14"/>
      <c r="I105" s="14" t="s">
        <v>1421</v>
      </c>
      <c r="J105" s="14"/>
    </row>
    <row r="106" customFormat="false" ht="14.5" hidden="true" customHeight="false" outlineLevel="0" collapsed="false">
      <c r="A106" s="14" t="s">
        <v>1422</v>
      </c>
      <c r="B106" s="14" t="n">
        <v>30</v>
      </c>
      <c r="C106" s="14" t="n">
        <v>1</v>
      </c>
      <c r="D106" s="14" t="n">
        <v>1</v>
      </c>
      <c r="E106" s="14" t="s">
        <v>1423</v>
      </c>
      <c r="F106" s="14" t="s">
        <v>1424</v>
      </c>
      <c r="G106" s="14"/>
      <c r="H106" s="14"/>
      <c r="I106" s="14" t="s">
        <v>1425</v>
      </c>
      <c r="J106" s="14"/>
    </row>
    <row r="107" customFormat="false" ht="14.5" hidden="false" customHeight="false" outlineLevel="0" collapsed="false">
      <c r="A107" s="14" t="s">
        <v>1422</v>
      </c>
      <c r="B107" s="14" t="n">
        <v>30</v>
      </c>
      <c r="C107" s="14" t="n">
        <v>1</v>
      </c>
      <c r="D107" s="14" t="n">
        <v>2</v>
      </c>
      <c r="E107" s="14" t="s">
        <v>970</v>
      </c>
      <c r="F107" s="14" t="s">
        <v>1426</v>
      </c>
      <c r="G107" s="14"/>
      <c r="H107" s="14"/>
      <c r="I107" s="14" t="s">
        <v>1427</v>
      </c>
      <c r="J107" s="14"/>
    </row>
    <row r="108" customFormat="false" ht="14.5" hidden="true" customHeight="false" outlineLevel="0" collapsed="false">
      <c r="A108" s="14" t="s">
        <v>1422</v>
      </c>
      <c r="B108" s="14" t="n">
        <v>30</v>
      </c>
      <c r="C108" s="14" t="n">
        <v>1</v>
      </c>
      <c r="D108" s="14" t="n">
        <v>3</v>
      </c>
      <c r="E108" s="14" t="s">
        <v>1107</v>
      </c>
      <c r="F108" s="14" t="s">
        <v>1428</v>
      </c>
      <c r="G108" s="14"/>
      <c r="H108" s="14"/>
      <c r="I108" s="14" t="s">
        <v>1429</v>
      </c>
      <c r="J108" s="14"/>
    </row>
    <row r="109" customFormat="false" ht="14.5" hidden="true" customHeight="false" outlineLevel="0" collapsed="false">
      <c r="A109" s="14" t="s">
        <v>1430</v>
      </c>
      <c r="B109" s="14" t="n">
        <v>30</v>
      </c>
      <c r="C109" s="14" t="n">
        <v>3</v>
      </c>
      <c r="D109" s="14" t="n">
        <v>1</v>
      </c>
      <c r="E109" s="14" t="s">
        <v>1105</v>
      </c>
      <c r="F109" s="14" t="s">
        <v>1431</v>
      </c>
      <c r="G109" s="14"/>
      <c r="H109" s="14"/>
      <c r="I109" s="14" t="s">
        <v>1432</v>
      </c>
      <c r="J109" s="14"/>
    </row>
    <row r="110" customFormat="false" ht="14.5" hidden="true" customHeight="false" outlineLevel="0" collapsed="false">
      <c r="A110" s="14" t="s">
        <v>1430</v>
      </c>
      <c r="B110" s="14" t="n">
        <v>30</v>
      </c>
      <c r="C110" s="14" t="n">
        <v>3</v>
      </c>
      <c r="D110" s="14" t="n">
        <v>2</v>
      </c>
      <c r="E110" s="14" t="s">
        <v>1105</v>
      </c>
      <c r="F110" s="14" t="s">
        <v>1433</v>
      </c>
      <c r="G110" s="14"/>
      <c r="H110" s="14"/>
      <c r="I110" s="14" t="s">
        <v>1434</v>
      </c>
      <c r="J110" s="14"/>
    </row>
    <row r="111" customFormat="false" ht="14.5" hidden="false" customHeight="false" outlineLevel="0" collapsed="false">
      <c r="A111" s="14" t="s">
        <v>1430</v>
      </c>
      <c r="B111" s="14" t="n">
        <v>30</v>
      </c>
      <c r="C111" s="14" t="n">
        <v>3</v>
      </c>
      <c r="D111" s="14" t="n">
        <v>3</v>
      </c>
      <c r="E111" s="14" t="s">
        <v>1107</v>
      </c>
      <c r="F111" s="14" t="s">
        <v>1435</v>
      </c>
      <c r="G111" s="14"/>
      <c r="H111" s="14"/>
      <c r="I111" s="14" t="s">
        <v>1436</v>
      </c>
      <c r="J111" s="14"/>
    </row>
    <row r="112" customFormat="false" ht="14.5" hidden="false" customHeight="false" outlineLevel="0" collapsed="false">
      <c r="A112" s="14" t="s">
        <v>1430</v>
      </c>
      <c r="B112" s="14" t="n">
        <v>30</v>
      </c>
      <c r="C112" s="14" t="n">
        <v>3</v>
      </c>
      <c r="D112" s="14" t="n">
        <v>1</v>
      </c>
      <c r="E112" s="14" t="s">
        <v>1437</v>
      </c>
      <c r="F112" s="14" t="s">
        <v>1332</v>
      </c>
      <c r="G112" s="14"/>
      <c r="H112" s="14"/>
      <c r="I112" s="14" t="s">
        <v>1438</v>
      </c>
      <c r="J112" s="14"/>
    </row>
    <row r="113" customFormat="false" ht="14.5" hidden="false" customHeight="false" outlineLevel="0" collapsed="false">
      <c r="A113" s="14" t="s">
        <v>1430</v>
      </c>
      <c r="B113" s="14" t="n">
        <v>30</v>
      </c>
      <c r="C113" s="14" t="n">
        <v>3</v>
      </c>
      <c r="D113" s="14" t="n">
        <v>2</v>
      </c>
      <c r="E113" s="14" t="s">
        <v>1439</v>
      </c>
      <c r="F113" s="14" t="s">
        <v>1341</v>
      </c>
      <c r="G113" s="14"/>
      <c r="H113" s="14"/>
      <c r="I113" s="14" t="s">
        <v>1440</v>
      </c>
      <c r="J113" s="14"/>
    </row>
    <row r="114" customFormat="false" ht="14.5" hidden="false" customHeight="false" outlineLevel="0" collapsed="false">
      <c r="A114" s="14" t="s">
        <v>1430</v>
      </c>
      <c r="B114" s="14" t="n">
        <v>30</v>
      </c>
      <c r="C114" s="14" t="n">
        <v>3</v>
      </c>
      <c r="D114" s="14" t="n">
        <v>3</v>
      </c>
      <c r="E114" s="14" t="s">
        <v>1107</v>
      </c>
      <c r="F114" s="14" t="s">
        <v>1335</v>
      </c>
      <c r="G114" s="14"/>
      <c r="H114" s="14"/>
      <c r="I114" s="14" t="s">
        <v>1441</v>
      </c>
      <c r="J114" s="14"/>
    </row>
    <row r="115" customFormat="false" ht="14.5" hidden="false" customHeight="false" outlineLevel="0" collapsed="false">
      <c r="A115" s="14" t="s">
        <v>1442</v>
      </c>
      <c r="B115" s="14" t="n">
        <v>31</v>
      </c>
      <c r="C115" s="14" t="n">
        <v>2</v>
      </c>
      <c r="D115" s="14" t="n">
        <v>1</v>
      </c>
      <c r="E115" s="14" t="s">
        <v>1443</v>
      </c>
      <c r="F115" s="14" t="s">
        <v>1205</v>
      </c>
      <c r="G115" s="14"/>
      <c r="H115" s="14"/>
      <c r="I115" s="14" t="s">
        <v>1444</v>
      </c>
      <c r="J115" s="14"/>
    </row>
    <row r="116" customFormat="false" ht="14.5" hidden="false" customHeight="false" outlineLevel="0" collapsed="false">
      <c r="A116" s="14" t="s">
        <v>1442</v>
      </c>
      <c r="B116" s="14" t="n">
        <v>31</v>
      </c>
      <c r="C116" s="14" t="n">
        <v>2</v>
      </c>
      <c r="D116" s="14" t="n">
        <v>2</v>
      </c>
      <c r="E116" s="14" t="s">
        <v>1445</v>
      </c>
      <c r="F116" s="14" t="s">
        <v>1446</v>
      </c>
      <c r="G116" s="14"/>
      <c r="H116" s="14"/>
      <c r="I116" s="14" t="s">
        <v>1447</v>
      </c>
      <c r="J116" s="14"/>
    </row>
    <row r="117" customFormat="false" ht="14.5" hidden="false" customHeight="false" outlineLevel="0" collapsed="false">
      <c r="A117" s="14" t="s">
        <v>1442</v>
      </c>
      <c r="B117" s="14" t="n">
        <v>31</v>
      </c>
      <c r="C117" s="14" t="n">
        <v>2</v>
      </c>
      <c r="D117" s="14" t="n">
        <v>3</v>
      </c>
      <c r="E117" s="14" t="s">
        <v>1448</v>
      </c>
      <c r="F117" s="14" t="s">
        <v>1289</v>
      </c>
      <c r="G117" s="14"/>
      <c r="H117" s="14"/>
      <c r="I117" s="14" t="s">
        <v>1449</v>
      </c>
      <c r="J117" s="14"/>
    </row>
    <row r="118" customFormat="false" ht="14.5" hidden="false" customHeight="false" outlineLevel="0" collapsed="false">
      <c r="A118" s="14" t="s">
        <v>1442</v>
      </c>
      <c r="B118" s="14" t="n">
        <v>31</v>
      </c>
      <c r="C118" s="14" t="n">
        <v>2</v>
      </c>
      <c r="D118" s="14" t="n">
        <v>4</v>
      </c>
      <c r="E118" s="14" t="s">
        <v>1450</v>
      </c>
      <c r="F118" s="14" t="s">
        <v>1446</v>
      </c>
      <c r="G118" s="14"/>
      <c r="H118" s="14"/>
      <c r="I118" s="14" t="s">
        <v>1451</v>
      </c>
      <c r="J118" s="14"/>
    </row>
    <row r="119" customFormat="false" ht="14.5" hidden="false" customHeight="false" outlineLevel="0" collapsed="false">
      <c r="A119" s="14" t="s">
        <v>1452</v>
      </c>
      <c r="B119" s="14" t="n">
        <v>31</v>
      </c>
      <c r="C119" s="14" t="n">
        <v>3</v>
      </c>
      <c r="D119" s="14" t="n">
        <v>1</v>
      </c>
      <c r="E119" s="14" t="s">
        <v>1453</v>
      </c>
      <c r="F119" s="14" t="s">
        <v>1454</v>
      </c>
      <c r="G119" s="14"/>
      <c r="H119" s="14"/>
      <c r="I119" s="14" t="s">
        <v>1455</v>
      </c>
      <c r="J119" s="14"/>
    </row>
    <row r="120" customFormat="false" ht="14.5" hidden="false" customHeight="false" outlineLevel="0" collapsed="false">
      <c r="A120" s="14" t="s">
        <v>1452</v>
      </c>
      <c r="B120" s="14" t="n">
        <v>31</v>
      </c>
      <c r="C120" s="14" t="n">
        <v>3</v>
      </c>
      <c r="D120" s="14" t="n">
        <v>2</v>
      </c>
      <c r="E120" s="14" t="s">
        <v>1456</v>
      </c>
      <c r="F120" s="14" t="s">
        <v>1205</v>
      </c>
      <c r="G120" s="14"/>
      <c r="H120" s="14"/>
      <c r="I120" s="14" t="s">
        <v>1457</v>
      </c>
      <c r="J120" s="14"/>
    </row>
    <row r="121" customFormat="false" ht="14.5" hidden="false" customHeight="false" outlineLevel="0" collapsed="false">
      <c r="A121" s="14" t="s">
        <v>1452</v>
      </c>
      <c r="B121" s="14" t="n">
        <v>31</v>
      </c>
      <c r="C121" s="14" t="n">
        <v>3</v>
      </c>
      <c r="D121" s="14" t="n">
        <v>3</v>
      </c>
      <c r="E121" s="14" t="s">
        <v>1458</v>
      </c>
      <c r="F121" s="14" t="s">
        <v>1365</v>
      </c>
      <c r="G121" s="14"/>
      <c r="H121" s="14"/>
      <c r="I121" s="14" t="s">
        <v>1459</v>
      </c>
      <c r="J121" s="14"/>
    </row>
    <row r="122" customFormat="false" ht="14.5" hidden="false" customHeight="false" outlineLevel="0" collapsed="false">
      <c r="A122" s="14" t="s">
        <v>1460</v>
      </c>
      <c r="B122" s="14" t="n">
        <v>39</v>
      </c>
      <c r="C122" s="14" t="n">
        <v>1</v>
      </c>
      <c r="D122" s="14" t="n">
        <v>1</v>
      </c>
      <c r="E122" s="14" t="s">
        <v>1461</v>
      </c>
      <c r="F122" s="14" t="s">
        <v>1332</v>
      </c>
      <c r="G122" s="14"/>
      <c r="H122" s="14"/>
      <c r="I122" s="14" t="s">
        <v>1462</v>
      </c>
      <c r="J122" s="14"/>
    </row>
    <row r="123" customFormat="false" ht="14.5" hidden="false" customHeight="false" outlineLevel="0" collapsed="false">
      <c r="A123" s="14" t="s">
        <v>1460</v>
      </c>
      <c r="B123" s="14" t="n">
        <v>39</v>
      </c>
      <c r="C123" s="14" t="n">
        <v>1</v>
      </c>
      <c r="D123" s="14" t="n">
        <v>2</v>
      </c>
      <c r="E123" s="14" t="s">
        <v>1463</v>
      </c>
      <c r="F123" s="14" t="s">
        <v>1338</v>
      </c>
      <c r="G123" s="14"/>
      <c r="H123" s="14"/>
      <c r="I123" s="14" t="s">
        <v>1464</v>
      </c>
      <c r="J123" s="14"/>
    </row>
    <row r="124" customFormat="false" ht="14.5" hidden="false" customHeight="false" outlineLevel="0" collapsed="false">
      <c r="A124" s="14" t="s">
        <v>1460</v>
      </c>
      <c r="B124" s="14" t="n">
        <v>39</v>
      </c>
      <c r="C124" s="14" t="n">
        <v>1</v>
      </c>
      <c r="D124" s="14" t="n">
        <v>3</v>
      </c>
      <c r="E124" s="14" t="s">
        <v>1465</v>
      </c>
      <c r="F124" s="14" t="s">
        <v>1332</v>
      </c>
      <c r="G124" s="14"/>
      <c r="H124" s="14"/>
      <c r="I124" s="14" t="s">
        <v>1466</v>
      </c>
      <c r="J124" s="14"/>
    </row>
    <row r="125" customFormat="false" ht="14.5" hidden="false" customHeight="false" outlineLevel="0" collapsed="false">
      <c r="A125" s="14" t="s">
        <v>1460</v>
      </c>
      <c r="B125" s="14" t="n">
        <v>39</v>
      </c>
      <c r="C125" s="14" t="n">
        <v>1</v>
      </c>
      <c r="D125" s="14" t="n">
        <v>4</v>
      </c>
      <c r="E125" s="14" t="s">
        <v>1467</v>
      </c>
      <c r="F125" s="14" t="s">
        <v>1468</v>
      </c>
      <c r="G125" s="14"/>
      <c r="H125" s="14"/>
      <c r="I125" s="14" t="s">
        <v>1469</v>
      </c>
      <c r="J125" s="14"/>
    </row>
    <row r="126" customFormat="false" ht="14.5" hidden="true" customHeight="false" outlineLevel="0" collapsed="false">
      <c r="A126" s="14" t="s">
        <v>1460</v>
      </c>
      <c r="B126" s="14" t="n">
        <v>39</v>
      </c>
      <c r="C126" s="14" t="n">
        <v>1</v>
      </c>
      <c r="D126" s="14" t="n">
        <v>5</v>
      </c>
      <c r="E126" s="14" t="s">
        <v>1470</v>
      </c>
      <c r="F126" s="14" t="s">
        <v>1471</v>
      </c>
      <c r="G126" s="14"/>
      <c r="H126" s="14"/>
      <c r="I126" s="14" t="s">
        <v>1472</v>
      </c>
      <c r="J126" s="14"/>
    </row>
    <row r="127" customFormat="false" ht="14.5" hidden="true" customHeight="false" outlineLevel="0" collapsed="false">
      <c r="A127" s="14" t="s">
        <v>1473</v>
      </c>
      <c r="B127" s="14" t="n">
        <v>39</v>
      </c>
      <c r="C127" s="14" t="n">
        <v>2</v>
      </c>
      <c r="D127" s="14" t="n">
        <v>1</v>
      </c>
      <c r="E127" s="14" t="s">
        <v>1107</v>
      </c>
      <c r="F127" s="14" t="s">
        <v>1406</v>
      </c>
      <c r="G127" s="14"/>
      <c r="H127" s="14"/>
      <c r="I127" s="14" t="s">
        <v>1474</v>
      </c>
      <c r="J127" s="14"/>
    </row>
    <row r="128" customFormat="false" ht="14.5" hidden="true" customHeight="false" outlineLevel="0" collapsed="false">
      <c r="A128" s="14" t="s">
        <v>1473</v>
      </c>
      <c r="B128" s="14" t="n">
        <v>39</v>
      </c>
      <c r="C128" s="14" t="n">
        <v>2</v>
      </c>
      <c r="D128" s="14" t="n">
        <v>2</v>
      </c>
      <c r="E128" s="14" t="s">
        <v>1463</v>
      </c>
      <c r="F128" s="14" t="s">
        <v>1475</v>
      </c>
      <c r="G128" s="14"/>
      <c r="H128" s="14"/>
      <c r="I128" s="14" t="s">
        <v>1476</v>
      </c>
      <c r="J128" s="14"/>
    </row>
    <row r="129" customFormat="false" ht="14.5" hidden="false" customHeight="false" outlineLevel="0" collapsed="false">
      <c r="A129" s="14" t="s">
        <v>1473</v>
      </c>
      <c r="B129" s="14" t="n">
        <v>39</v>
      </c>
      <c r="C129" s="14" t="n">
        <v>2</v>
      </c>
      <c r="D129" s="14" t="n">
        <v>3</v>
      </c>
      <c r="E129" s="14" t="s">
        <v>1461</v>
      </c>
      <c r="F129" s="14" t="s">
        <v>1477</v>
      </c>
      <c r="G129" s="14"/>
      <c r="H129" s="14"/>
      <c r="I129" s="14" t="s">
        <v>1478</v>
      </c>
      <c r="J129" s="14"/>
    </row>
    <row r="130" customFormat="false" ht="14.5" hidden="true" customHeight="false" outlineLevel="0" collapsed="false">
      <c r="A130" s="14" t="s">
        <v>1473</v>
      </c>
      <c r="B130" s="14" t="n">
        <v>39</v>
      </c>
      <c r="C130" s="14" t="n">
        <v>2</v>
      </c>
      <c r="D130" s="14" t="n">
        <v>4</v>
      </c>
      <c r="E130" s="14" t="s">
        <v>1479</v>
      </c>
      <c r="F130" s="14" t="s">
        <v>1480</v>
      </c>
      <c r="G130" s="14"/>
      <c r="H130" s="14"/>
      <c r="I130" s="14" t="s">
        <v>1481</v>
      </c>
      <c r="J130" s="14"/>
    </row>
    <row r="131" customFormat="false" ht="14.5" hidden="true" customHeight="false" outlineLevel="0" collapsed="false">
      <c r="A131" s="14" t="s">
        <v>1008</v>
      </c>
      <c r="B131" s="14" t="n">
        <v>42</v>
      </c>
      <c r="C131" s="14" t="n">
        <v>3</v>
      </c>
      <c r="D131" s="14" t="n">
        <v>1</v>
      </c>
      <c r="E131" s="14" t="s">
        <v>1482</v>
      </c>
      <c r="F131" s="14" t="s">
        <v>1406</v>
      </c>
      <c r="G131" s="14"/>
      <c r="H131" s="14"/>
      <c r="I131" s="14" t="s">
        <v>1483</v>
      </c>
      <c r="J131" s="14"/>
    </row>
    <row r="132" customFormat="false" ht="14.5" hidden="true" customHeight="false" outlineLevel="0" collapsed="false">
      <c r="A132" s="14" t="s">
        <v>1008</v>
      </c>
      <c r="B132" s="14" t="n">
        <v>42</v>
      </c>
      <c r="C132" s="14" t="n">
        <v>3</v>
      </c>
      <c r="D132" s="14" t="n">
        <v>2</v>
      </c>
      <c r="E132" s="14" t="s">
        <v>1482</v>
      </c>
      <c r="F132" s="14" t="s">
        <v>1484</v>
      </c>
      <c r="G132" s="14"/>
      <c r="H132" s="14"/>
      <c r="I132" s="14" t="s">
        <v>1485</v>
      </c>
      <c r="J132" s="14"/>
    </row>
    <row r="133" customFormat="false" ht="14.5" hidden="true" customHeight="false" outlineLevel="0" collapsed="false">
      <c r="A133" s="14" t="s">
        <v>1008</v>
      </c>
      <c r="B133" s="14" t="n">
        <v>42</v>
      </c>
      <c r="C133" s="14" t="n">
        <v>3</v>
      </c>
      <c r="D133" s="14" t="n">
        <v>3</v>
      </c>
      <c r="E133" s="14" t="s">
        <v>1486</v>
      </c>
      <c r="F133" s="14" t="s">
        <v>1322</v>
      </c>
      <c r="G133" s="14"/>
      <c r="H133" s="14"/>
      <c r="I133" s="14" t="s">
        <v>1487</v>
      </c>
      <c r="J133" s="14"/>
    </row>
    <row r="134" customFormat="false" ht="14.5" hidden="true" customHeight="false" outlineLevel="0" collapsed="false">
      <c r="A134" s="14" t="s">
        <v>1488</v>
      </c>
      <c r="B134" s="14" t="n">
        <v>44</v>
      </c>
      <c r="C134" s="14" t="n">
        <v>1</v>
      </c>
      <c r="D134" s="14" t="n">
        <v>1</v>
      </c>
      <c r="E134" s="14" t="s">
        <v>1489</v>
      </c>
      <c r="F134" s="14" t="s">
        <v>1490</v>
      </c>
      <c r="G134" s="14"/>
      <c r="H134" s="14"/>
      <c r="I134" s="14" t="s">
        <v>1491</v>
      </c>
      <c r="J134" s="14"/>
    </row>
    <row r="135" customFormat="false" ht="14.5" hidden="true" customHeight="false" outlineLevel="0" collapsed="false">
      <c r="A135" s="14" t="s">
        <v>1488</v>
      </c>
      <c r="B135" s="14" t="n">
        <v>44</v>
      </c>
      <c r="C135" s="14" t="n">
        <v>1</v>
      </c>
      <c r="D135" s="14" t="n">
        <v>2</v>
      </c>
      <c r="E135" s="14" t="s">
        <v>1492</v>
      </c>
      <c r="F135" s="14" t="s">
        <v>1493</v>
      </c>
      <c r="G135" s="14"/>
      <c r="H135" s="14"/>
      <c r="I135" s="14" t="s">
        <v>1494</v>
      </c>
      <c r="J135" s="14"/>
    </row>
    <row r="136" customFormat="false" ht="14.5" hidden="false" customHeight="false" outlineLevel="0" collapsed="false">
      <c r="A136" s="14" t="s">
        <v>1488</v>
      </c>
      <c r="B136" s="14" t="n">
        <v>44</v>
      </c>
      <c r="C136" s="14" t="n">
        <v>1</v>
      </c>
      <c r="D136" s="14" t="n">
        <v>3</v>
      </c>
      <c r="E136" s="14" t="s">
        <v>1495</v>
      </c>
      <c r="F136" s="14" t="s">
        <v>1496</v>
      </c>
      <c r="G136" s="14"/>
      <c r="H136" s="14"/>
      <c r="I136" s="14" t="s">
        <v>1497</v>
      </c>
      <c r="J136" s="14"/>
    </row>
    <row r="137" customFormat="false" ht="14.5" hidden="false" customHeight="false" outlineLevel="0" collapsed="false">
      <c r="A137" s="14" t="s">
        <v>1498</v>
      </c>
      <c r="B137" s="14" t="n">
        <v>44</v>
      </c>
      <c r="C137" s="14" t="n">
        <v>3</v>
      </c>
      <c r="D137" s="14" t="n">
        <v>2</v>
      </c>
      <c r="E137" s="14" t="s">
        <v>1499</v>
      </c>
      <c r="F137" s="14" t="s">
        <v>1500</v>
      </c>
      <c r="G137" s="14"/>
      <c r="H137" s="14"/>
      <c r="I137" s="14" t="s">
        <v>1501</v>
      </c>
      <c r="J137" s="14"/>
    </row>
    <row r="138" customFormat="false" ht="14.5" hidden="false" customHeight="false" outlineLevel="0" collapsed="false">
      <c r="A138" s="14" t="s">
        <v>1502</v>
      </c>
      <c r="B138" s="14" t="n">
        <v>45</v>
      </c>
      <c r="C138" s="14" t="n">
        <v>1</v>
      </c>
      <c r="D138" s="14" t="n">
        <v>1</v>
      </c>
      <c r="E138" s="14" t="s">
        <v>1503</v>
      </c>
      <c r="F138" s="14" t="s">
        <v>1504</v>
      </c>
      <c r="G138" s="14"/>
      <c r="H138" s="14"/>
      <c r="I138" s="14" t="s">
        <v>1505</v>
      </c>
      <c r="J138" s="14"/>
    </row>
    <row r="139" customFormat="false" ht="14.5" hidden="false" customHeight="false" outlineLevel="0" collapsed="false">
      <c r="A139" s="14" t="s">
        <v>1502</v>
      </c>
      <c r="B139" s="14" t="n">
        <v>45</v>
      </c>
      <c r="C139" s="14" t="n">
        <v>1</v>
      </c>
      <c r="D139" s="14" t="n">
        <v>2</v>
      </c>
      <c r="E139" s="14" t="s">
        <v>1506</v>
      </c>
      <c r="F139" s="14" t="s">
        <v>1332</v>
      </c>
      <c r="G139" s="14"/>
      <c r="H139" s="14"/>
      <c r="I139" s="14" t="s">
        <v>1507</v>
      </c>
      <c r="J139" s="14" t="s">
        <v>1508</v>
      </c>
    </row>
    <row r="140" customFormat="false" ht="14.5" hidden="true" customHeight="false" outlineLevel="0" collapsed="false">
      <c r="A140" s="14" t="s">
        <v>1509</v>
      </c>
      <c r="B140" s="14" t="n">
        <v>45</v>
      </c>
      <c r="C140" s="14" t="n">
        <v>2</v>
      </c>
      <c r="D140" s="14" t="n">
        <v>1</v>
      </c>
      <c r="E140" s="14" t="s">
        <v>1510</v>
      </c>
      <c r="F140" s="14" t="s">
        <v>1511</v>
      </c>
      <c r="G140" s="14"/>
      <c r="H140" s="14"/>
      <c r="I140" s="14" t="s">
        <v>1512</v>
      </c>
      <c r="J140" s="14"/>
    </row>
    <row r="141" customFormat="false" ht="14.5" hidden="true" customHeight="false" outlineLevel="0" collapsed="false">
      <c r="A141" s="14" t="s">
        <v>1509</v>
      </c>
      <c r="B141" s="14" t="n">
        <v>45</v>
      </c>
      <c r="C141" s="14" t="n">
        <v>2</v>
      </c>
      <c r="D141" s="14" t="n">
        <v>2</v>
      </c>
      <c r="E141" s="14" t="s">
        <v>1503</v>
      </c>
      <c r="F141" s="14" t="s">
        <v>1513</v>
      </c>
      <c r="G141" s="14"/>
      <c r="H141" s="14"/>
      <c r="I141" s="14" t="s">
        <v>1514</v>
      </c>
      <c r="J141" s="14"/>
    </row>
    <row r="142" customFormat="false" ht="14.5" hidden="false" customHeight="false" outlineLevel="0" collapsed="false">
      <c r="A142" s="14" t="s">
        <v>1509</v>
      </c>
      <c r="B142" s="14" t="n">
        <v>45</v>
      </c>
      <c r="C142" s="14" t="n">
        <v>2</v>
      </c>
      <c r="D142" s="14" t="n">
        <v>3</v>
      </c>
      <c r="E142" s="14" t="s">
        <v>1503</v>
      </c>
      <c r="F142" s="14" t="s">
        <v>1515</v>
      </c>
      <c r="G142" s="14"/>
      <c r="H142" s="14"/>
      <c r="I142" s="14" t="s">
        <v>1516</v>
      </c>
      <c r="J142" s="14"/>
    </row>
    <row r="143" customFormat="false" ht="14.5" hidden="false" customHeight="false" outlineLevel="0" collapsed="false">
      <c r="A143" s="14" t="s">
        <v>1509</v>
      </c>
      <c r="B143" s="14" t="n">
        <v>45</v>
      </c>
      <c r="C143" s="14" t="n">
        <v>2</v>
      </c>
      <c r="D143" s="14" t="n">
        <v>4</v>
      </c>
      <c r="E143" s="14" t="s">
        <v>1517</v>
      </c>
      <c r="F143" s="14" t="s">
        <v>1518</v>
      </c>
      <c r="G143" s="14"/>
      <c r="H143" s="14"/>
      <c r="I143" s="14" t="s">
        <v>1519</v>
      </c>
      <c r="J143" s="14"/>
    </row>
    <row r="144" customFormat="false" ht="14.5" hidden="false" customHeight="false" outlineLevel="0" collapsed="false">
      <c r="A144" s="14" t="s">
        <v>1520</v>
      </c>
      <c r="B144" s="14" t="n">
        <v>47</v>
      </c>
      <c r="C144" s="14" t="n">
        <v>1</v>
      </c>
      <c r="D144" s="14" t="n">
        <v>1</v>
      </c>
      <c r="E144" s="14" t="s">
        <v>1521</v>
      </c>
      <c r="F144" s="14" t="s">
        <v>1522</v>
      </c>
      <c r="G144" s="14"/>
      <c r="H144" s="14"/>
      <c r="I144" s="14" t="s">
        <v>1523</v>
      </c>
      <c r="J144" s="14"/>
    </row>
    <row r="145" customFormat="false" ht="14.5" hidden="false" customHeight="false" outlineLevel="0" collapsed="false">
      <c r="A145" s="14" t="s">
        <v>1520</v>
      </c>
      <c r="B145" s="14" t="n">
        <v>47</v>
      </c>
      <c r="C145" s="14" t="n">
        <v>1</v>
      </c>
      <c r="D145" s="14" t="n">
        <v>2</v>
      </c>
      <c r="E145" s="14" t="s">
        <v>1524</v>
      </c>
      <c r="F145" s="14" t="s">
        <v>1522</v>
      </c>
      <c r="G145" s="14"/>
      <c r="H145" s="14"/>
      <c r="I145" s="14" t="s">
        <v>1525</v>
      </c>
      <c r="J145" s="14"/>
    </row>
    <row r="146" customFormat="false" ht="14.5" hidden="false" customHeight="false" outlineLevel="0" collapsed="false">
      <c r="A146" s="14" t="s">
        <v>1520</v>
      </c>
      <c r="B146" s="14" t="n">
        <v>47</v>
      </c>
      <c r="C146" s="14" t="n">
        <v>1</v>
      </c>
      <c r="D146" s="14" t="n">
        <v>3</v>
      </c>
      <c r="E146" s="14" t="s">
        <v>1526</v>
      </c>
      <c r="F146" s="14" t="s">
        <v>1332</v>
      </c>
      <c r="G146" s="14"/>
      <c r="H146" s="14"/>
      <c r="I146" s="14" t="s">
        <v>1527</v>
      </c>
      <c r="J146" s="14"/>
    </row>
    <row r="147" customFormat="false" ht="14.5" hidden="true" customHeight="false" outlineLevel="0" collapsed="false">
      <c r="A147" s="14" t="s">
        <v>1520</v>
      </c>
      <c r="B147" s="14" t="n">
        <v>47</v>
      </c>
      <c r="C147" s="14" t="n">
        <v>1</v>
      </c>
      <c r="D147" s="14" t="n">
        <v>4</v>
      </c>
      <c r="E147" s="14" t="s">
        <v>1526</v>
      </c>
      <c r="F147" s="14" t="s">
        <v>1528</v>
      </c>
      <c r="G147" s="14"/>
      <c r="H147" s="14"/>
      <c r="I147" s="14" t="s">
        <v>1529</v>
      </c>
      <c r="J147" s="14"/>
    </row>
    <row r="148" customFormat="false" ht="14.5" hidden="true" customHeight="false" outlineLevel="0" collapsed="false">
      <c r="A148" s="14" t="s">
        <v>1520</v>
      </c>
      <c r="B148" s="14" t="n">
        <v>47</v>
      </c>
      <c r="C148" s="14" t="n">
        <v>1</v>
      </c>
      <c r="D148" s="14" t="n">
        <v>5</v>
      </c>
      <c r="E148" s="14" t="s">
        <v>1526</v>
      </c>
      <c r="F148" s="14" t="s">
        <v>1530</v>
      </c>
      <c r="G148" s="14"/>
      <c r="H148" s="14"/>
      <c r="I148" s="14" t="s">
        <v>1531</v>
      </c>
      <c r="J148" s="14"/>
    </row>
    <row r="149" customFormat="false" ht="14.5" hidden="false" customHeight="false" outlineLevel="0" collapsed="false">
      <c r="A149" s="14" t="s">
        <v>1520</v>
      </c>
      <c r="B149" s="14" t="n">
        <v>47</v>
      </c>
      <c r="C149" s="14" t="n">
        <v>1</v>
      </c>
      <c r="D149" s="14" t="n">
        <v>1</v>
      </c>
      <c r="E149" s="14" t="s">
        <v>1521</v>
      </c>
      <c r="F149" s="14" t="s">
        <v>1522</v>
      </c>
      <c r="G149" s="14"/>
      <c r="H149" s="14"/>
      <c r="I149" s="14" t="s">
        <v>1532</v>
      </c>
      <c r="J149" s="14"/>
    </row>
    <row r="150" customFormat="false" ht="14.5" hidden="false" customHeight="false" outlineLevel="0" collapsed="false">
      <c r="A150" s="14" t="s">
        <v>1520</v>
      </c>
      <c r="B150" s="14" t="n">
        <v>47</v>
      </c>
      <c r="C150" s="14" t="n">
        <v>1</v>
      </c>
      <c r="D150" s="14" t="n">
        <v>2</v>
      </c>
      <c r="E150" s="14" t="s">
        <v>1524</v>
      </c>
      <c r="F150" s="14" t="s">
        <v>1522</v>
      </c>
      <c r="G150" s="14"/>
      <c r="H150" s="14"/>
      <c r="I150" s="14" t="s">
        <v>1533</v>
      </c>
      <c r="J150" s="14"/>
    </row>
    <row r="151" customFormat="false" ht="14.5" hidden="false" customHeight="false" outlineLevel="0" collapsed="false">
      <c r="A151" s="14" t="s">
        <v>1520</v>
      </c>
      <c r="B151" s="14" t="n">
        <v>47</v>
      </c>
      <c r="C151" s="14" t="n">
        <v>1</v>
      </c>
      <c r="D151" s="14" t="n">
        <v>3</v>
      </c>
      <c r="E151" s="14" t="s">
        <v>1526</v>
      </c>
      <c r="F151" s="14" t="s">
        <v>1332</v>
      </c>
      <c r="G151" s="14"/>
      <c r="H151" s="14"/>
      <c r="I151" s="14" t="s">
        <v>1527</v>
      </c>
      <c r="J151" s="14"/>
    </row>
    <row r="152" customFormat="false" ht="14.5" hidden="true" customHeight="false" outlineLevel="0" collapsed="false">
      <c r="A152" s="14" t="s">
        <v>1520</v>
      </c>
      <c r="B152" s="14" t="n">
        <v>47</v>
      </c>
      <c r="C152" s="14" t="n">
        <v>1</v>
      </c>
      <c r="D152" s="14" t="n">
        <v>4</v>
      </c>
      <c r="E152" s="14" t="s">
        <v>1526</v>
      </c>
      <c r="F152" s="14" t="s">
        <v>1528</v>
      </c>
      <c r="G152" s="14"/>
      <c r="H152" s="14"/>
      <c r="I152" s="14" t="s">
        <v>1529</v>
      </c>
      <c r="J152" s="14"/>
    </row>
    <row r="153" customFormat="false" ht="14.5" hidden="true" customHeight="false" outlineLevel="0" collapsed="false">
      <c r="A153" s="14" t="s">
        <v>1520</v>
      </c>
      <c r="B153" s="14" t="n">
        <v>47</v>
      </c>
      <c r="C153" s="14" t="n">
        <v>1</v>
      </c>
      <c r="D153" s="14" t="n">
        <v>5</v>
      </c>
      <c r="E153" s="14" t="s">
        <v>1526</v>
      </c>
      <c r="F153" s="14" t="s">
        <v>1530</v>
      </c>
      <c r="G153" s="14"/>
      <c r="H153" s="14"/>
      <c r="I153" s="14" t="s">
        <v>1531</v>
      </c>
      <c r="J153" s="14"/>
    </row>
    <row r="154" customFormat="false" ht="14.5" hidden="false" customHeight="false" outlineLevel="0" collapsed="false">
      <c r="A154" s="14" t="s">
        <v>1520</v>
      </c>
      <c r="B154" s="14" t="n">
        <v>47</v>
      </c>
      <c r="C154" s="14" t="n">
        <v>1</v>
      </c>
      <c r="D154" s="14" t="n">
        <v>6</v>
      </c>
      <c r="E154" s="14" t="s">
        <v>1534</v>
      </c>
      <c r="F154" s="14" t="s">
        <v>1535</v>
      </c>
      <c r="G154" s="14"/>
      <c r="H154" s="14"/>
      <c r="I154" s="14" t="s">
        <v>1536</v>
      </c>
      <c r="J154" s="14"/>
    </row>
    <row r="155" customFormat="false" ht="14.5" hidden="true" customHeight="false" outlineLevel="0" collapsed="false">
      <c r="A155" s="14" t="s">
        <v>1537</v>
      </c>
      <c r="B155" s="14" t="n">
        <v>47</v>
      </c>
      <c r="C155" s="14" t="n">
        <v>2</v>
      </c>
      <c r="D155" s="14" t="n">
        <v>1</v>
      </c>
      <c r="E155" s="14" t="s">
        <v>1538</v>
      </c>
      <c r="F155" s="14" t="s">
        <v>1539</v>
      </c>
      <c r="G155" s="14"/>
      <c r="H155" s="14"/>
      <c r="I155" s="14" t="s">
        <v>1540</v>
      </c>
      <c r="J155" s="14"/>
    </row>
    <row r="156" customFormat="false" ht="14.5" hidden="true" customHeight="false" outlineLevel="0" collapsed="false">
      <c r="A156" s="14" t="s">
        <v>1537</v>
      </c>
      <c r="B156" s="14" t="n">
        <v>47</v>
      </c>
      <c r="C156" s="14" t="n">
        <v>2</v>
      </c>
      <c r="D156" s="14" t="n">
        <v>1</v>
      </c>
      <c r="E156" s="14" t="s">
        <v>1526</v>
      </c>
      <c r="F156" s="14" t="s">
        <v>1541</v>
      </c>
      <c r="G156" s="14"/>
      <c r="H156" s="14"/>
      <c r="I156" s="14" t="s">
        <v>1540</v>
      </c>
      <c r="J156" s="14"/>
    </row>
    <row r="157" customFormat="false" ht="14.5" hidden="true" customHeight="false" outlineLevel="0" collapsed="false">
      <c r="A157" s="14" t="s">
        <v>1537</v>
      </c>
      <c r="B157" s="14" t="n">
        <v>47</v>
      </c>
      <c r="C157" s="14" t="n">
        <v>2</v>
      </c>
      <c r="D157" s="14" t="n">
        <v>2</v>
      </c>
      <c r="E157" s="14" t="s">
        <v>1526</v>
      </c>
      <c r="F157" s="14" t="s">
        <v>1475</v>
      </c>
      <c r="G157" s="14"/>
      <c r="H157" s="14"/>
      <c r="I157" s="14" t="s">
        <v>1542</v>
      </c>
      <c r="J157" s="14"/>
    </row>
    <row r="158" customFormat="false" ht="14.5" hidden="true" customHeight="false" outlineLevel="0" collapsed="false">
      <c r="A158" s="14" t="s">
        <v>1537</v>
      </c>
      <c r="B158" s="14" t="n">
        <v>47</v>
      </c>
      <c r="C158" s="14" t="n">
        <v>2</v>
      </c>
      <c r="D158" s="14" t="n">
        <v>3</v>
      </c>
      <c r="E158" s="14" t="s">
        <v>1534</v>
      </c>
      <c r="F158" s="14" t="s">
        <v>1543</v>
      </c>
      <c r="G158" s="14"/>
      <c r="H158" s="14"/>
      <c r="I158" s="14" t="s">
        <v>1544</v>
      </c>
      <c r="J158" s="14"/>
    </row>
    <row r="159" customFormat="false" ht="14.5" hidden="true" customHeight="false" outlineLevel="0" collapsed="false">
      <c r="A159" s="14" t="s">
        <v>1537</v>
      </c>
      <c r="B159" s="14" t="n">
        <v>47</v>
      </c>
      <c r="C159" s="14" t="n">
        <v>2</v>
      </c>
      <c r="D159" s="14" t="n">
        <v>4</v>
      </c>
      <c r="E159" s="14" t="s">
        <v>1534</v>
      </c>
      <c r="F159" s="14" t="s">
        <v>1545</v>
      </c>
      <c r="G159" s="14"/>
      <c r="H159" s="14"/>
      <c r="I159" s="14" t="s">
        <v>1546</v>
      </c>
      <c r="J159" s="14"/>
    </row>
    <row r="160" customFormat="false" ht="14.5" hidden="false" customHeight="false" outlineLevel="0" collapsed="false">
      <c r="A160" s="14" t="s">
        <v>1537</v>
      </c>
      <c r="B160" s="14" t="n">
        <v>47</v>
      </c>
      <c r="C160" s="14" t="n">
        <v>2</v>
      </c>
      <c r="D160" s="14" t="n">
        <v>5</v>
      </c>
      <c r="E160" s="14" t="s">
        <v>1547</v>
      </c>
      <c r="F160" s="14" t="s">
        <v>1548</v>
      </c>
      <c r="G160" s="14"/>
      <c r="H160" s="14"/>
      <c r="I160" s="14" t="s">
        <v>1549</v>
      </c>
      <c r="J160" s="14"/>
    </row>
    <row r="161" customFormat="false" ht="14.5" hidden="true" customHeight="false" outlineLevel="0" collapsed="false">
      <c r="A161" s="14" t="s">
        <v>1550</v>
      </c>
      <c r="B161" s="14" t="n">
        <v>47</v>
      </c>
      <c r="C161" s="14" t="n">
        <v>3</v>
      </c>
      <c r="D161" s="14" t="n">
        <v>1</v>
      </c>
      <c r="E161" s="14" t="s">
        <v>1551</v>
      </c>
      <c r="F161" s="14" t="s">
        <v>1552</v>
      </c>
      <c r="G161" s="14"/>
      <c r="H161" s="14"/>
      <c r="I161" s="14" t="s">
        <v>1553</v>
      </c>
      <c r="J161" s="14"/>
    </row>
    <row r="162" customFormat="false" ht="14.5" hidden="true" customHeight="false" outlineLevel="0" collapsed="false">
      <c r="A162" s="14" t="s">
        <v>1550</v>
      </c>
      <c r="B162" s="14" t="n">
        <v>47</v>
      </c>
      <c r="C162" s="14" t="n">
        <v>3</v>
      </c>
      <c r="D162" s="14" t="n">
        <v>2</v>
      </c>
      <c r="E162" s="14" t="s">
        <v>1534</v>
      </c>
      <c r="F162" s="14" t="s">
        <v>1545</v>
      </c>
      <c r="G162" s="14"/>
      <c r="H162" s="14"/>
      <c r="I162" s="14" t="s">
        <v>1554</v>
      </c>
      <c r="J162" s="14"/>
    </row>
    <row r="163" customFormat="false" ht="14.5" hidden="false" customHeight="false" outlineLevel="0" collapsed="false">
      <c r="A163" s="14" t="s">
        <v>1550</v>
      </c>
      <c r="B163" s="14" t="n">
        <v>47</v>
      </c>
      <c r="C163" s="14" t="n">
        <v>3</v>
      </c>
      <c r="D163" s="14" t="n">
        <v>3</v>
      </c>
      <c r="E163" s="14" t="s">
        <v>1526</v>
      </c>
      <c r="F163" s="14" t="s">
        <v>1555</v>
      </c>
      <c r="G163" s="14"/>
      <c r="H163" s="14"/>
      <c r="I163" s="14" t="s">
        <v>1556</v>
      </c>
      <c r="J163" s="14"/>
    </row>
    <row r="164" customFormat="false" ht="14.5" hidden="true" customHeight="false" outlineLevel="0" collapsed="false">
      <c r="A164" s="14" t="s">
        <v>1550</v>
      </c>
      <c r="B164" s="14" t="n">
        <v>47</v>
      </c>
      <c r="C164" s="14" t="n">
        <v>3</v>
      </c>
      <c r="D164" s="14" t="n">
        <v>4</v>
      </c>
      <c r="E164" s="14" t="s">
        <v>1058</v>
      </c>
      <c r="F164" s="14" t="s">
        <v>1557</v>
      </c>
      <c r="G164" s="14"/>
      <c r="H164" s="14"/>
      <c r="I164" s="14" t="s">
        <v>1558</v>
      </c>
      <c r="J164" s="14"/>
    </row>
    <row r="165" customFormat="false" ht="14.5" hidden="true" customHeight="false" outlineLevel="0" collapsed="false">
      <c r="A165" s="14" t="s">
        <v>1550</v>
      </c>
      <c r="B165" s="14" t="n">
        <v>47</v>
      </c>
      <c r="C165" s="14" t="n">
        <v>3</v>
      </c>
      <c r="D165" s="14" t="n">
        <v>5</v>
      </c>
      <c r="E165" s="14" t="s">
        <v>1547</v>
      </c>
      <c r="F165" s="14" t="s">
        <v>1559</v>
      </c>
      <c r="G165" s="14"/>
      <c r="H165" s="14"/>
      <c r="I165" s="14" t="s">
        <v>1560</v>
      </c>
      <c r="J165" s="14"/>
    </row>
    <row r="166" customFormat="false" ht="14.5" hidden="true" customHeight="false" outlineLevel="0" collapsed="false">
      <c r="A166" s="14" t="s">
        <v>1550</v>
      </c>
      <c r="B166" s="14" t="n">
        <v>47</v>
      </c>
      <c r="C166" s="14" t="n">
        <v>3</v>
      </c>
      <c r="D166" s="14" t="n">
        <v>6</v>
      </c>
      <c r="E166" s="14" t="s">
        <v>1561</v>
      </c>
      <c r="F166" s="14" t="s">
        <v>1393</v>
      </c>
      <c r="G166" s="14"/>
      <c r="H166" s="14"/>
      <c r="I166" s="14" t="s">
        <v>1562</v>
      </c>
      <c r="J166" s="14"/>
    </row>
    <row r="167" customFormat="false" ht="14.5" hidden="true" customHeight="false" outlineLevel="0" collapsed="false">
      <c r="A167" s="14" t="s">
        <v>1550</v>
      </c>
      <c r="B167" s="14" t="n">
        <v>47</v>
      </c>
      <c r="C167" s="14" t="n">
        <v>3</v>
      </c>
      <c r="D167" s="14" t="n">
        <v>1</v>
      </c>
      <c r="E167" s="14" t="s">
        <v>1551</v>
      </c>
      <c r="F167" s="14" t="s">
        <v>1552</v>
      </c>
      <c r="G167" s="14"/>
      <c r="H167" s="14"/>
      <c r="I167" s="14" t="s">
        <v>1553</v>
      </c>
      <c r="J167" s="14"/>
    </row>
    <row r="168" customFormat="false" ht="14.5" hidden="true" customHeight="false" outlineLevel="0" collapsed="false">
      <c r="A168" s="14" t="s">
        <v>1550</v>
      </c>
      <c r="B168" s="14" t="n">
        <v>47</v>
      </c>
      <c r="C168" s="14" t="n">
        <v>3</v>
      </c>
      <c r="D168" s="14" t="n">
        <v>2</v>
      </c>
      <c r="E168" s="14" t="s">
        <v>1058</v>
      </c>
      <c r="F168" s="14" t="s">
        <v>1557</v>
      </c>
      <c r="G168" s="14"/>
      <c r="H168" s="14"/>
      <c r="I168" s="14" t="s">
        <v>1558</v>
      </c>
      <c r="J168" s="14"/>
    </row>
    <row r="169" customFormat="false" ht="14.5" hidden="false" customHeight="false" outlineLevel="0" collapsed="false">
      <c r="A169" s="14" t="s">
        <v>1550</v>
      </c>
      <c r="B169" s="14" t="n">
        <v>47</v>
      </c>
      <c r="C169" s="14" t="n">
        <v>3</v>
      </c>
      <c r="D169" s="14" t="n">
        <v>3</v>
      </c>
      <c r="E169" s="14" t="s">
        <v>1526</v>
      </c>
      <c r="F169" s="14" t="s">
        <v>1555</v>
      </c>
      <c r="G169" s="14"/>
      <c r="H169" s="14"/>
      <c r="I169" s="14" t="s">
        <v>1556</v>
      </c>
      <c r="J169" s="14"/>
    </row>
    <row r="170" customFormat="false" ht="14.5" hidden="true" customHeight="false" outlineLevel="0" collapsed="false">
      <c r="A170" s="14" t="s">
        <v>1550</v>
      </c>
      <c r="B170" s="14" t="n">
        <v>47</v>
      </c>
      <c r="C170" s="14" t="n">
        <v>3</v>
      </c>
      <c r="D170" s="14" t="n">
        <v>4</v>
      </c>
      <c r="E170" s="14" t="s">
        <v>1547</v>
      </c>
      <c r="F170" s="14" t="s">
        <v>1559</v>
      </c>
      <c r="G170" s="14"/>
      <c r="H170" s="14"/>
      <c r="I170" s="14" t="s">
        <v>1560</v>
      </c>
      <c r="J170" s="14"/>
    </row>
    <row r="171" customFormat="false" ht="14.5" hidden="true" customHeight="false" outlineLevel="0" collapsed="false">
      <c r="A171" s="14" t="s">
        <v>1550</v>
      </c>
      <c r="B171" s="14" t="n">
        <v>47</v>
      </c>
      <c r="C171" s="14" t="n">
        <v>3</v>
      </c>
      <c r="D171" s="14" t="n">
        <v>5</v>
      </c>
      <c r="E171" s="14" t="s">
        <v>1561</v>
      </c>
      <c r="F171" s="14" t="s">
        <v>1393</v>
      </c>
      <c r="G171" s="14"/>
      <c r="H171" s="14"/>
      <c r="I171" s="14" t="s">
        <v>1562</v>
      </c>
      <c r="J171" s="14"/>
    </row>
    <row r="172" customFormat="false" ht="14.5" hidden="false" customHeight="false" outlineLevel="0" collapsed="false">
      <c r="A172" s="14" t="s">
        <v>1550</v>
      </c>
      <c r="B172" s="14" t="n">
        <v>47</v>
      </c>
      <c r="C172" s="14" t="n">
        <v>3</v>
      </c>
      <c r="D172" s="14" t="n">
        <v>6</v>
      </c>
      <c r="E172" s="14" t="s">
        <v>1563</v>
      </c>
      <c r="F172" s="14" t="s">
        <v>1564</v>
      </c>
      <c r="G172" s="14"/>
      <c r="H172" s="14"/>
      <c r="I172" s="14" t="s">
        <v>1565</v>
      </c>
      <c r="J172" s="14"/>
    </row>
    <row r="173" customFormat="false" ht="14.5" hidden="true" customHeight="false" outlineLevel="0" collapsed="false">
      <c r="A173" s="14" t="s">
        <v>1566</v>
      </c>
      <c r="B173" s="14" t="n">
        <v>49</v>
      </c>
      <c r="C173" s="14" t="n">
        <v>2</v>
      </c>
      <c r="D173" s="14" t="n">
        <v>1</v>
      </c>
      <c r="E173" s="14" t="s">
        <v>1567</v>
      </c>
      <c r="F173" s="14" t="s">
        <v>1188</v>
      </c>
      <c r="G173" s="14"/>
      <c r="H173" s="14"/>
      <c r="I173" s="14" t="s">
        <v>1568</v>
      </c>
      <c r="J173" s="14"/>
    </row>
    <row r="174" customFormat="false" ht="14.5" hidden="true" customHeight="false" outlineLevel="0" collapsed="false">
      <c r="A174" s="14" t="s">
        <v>1566</v>
      </c>
      <c r="B174" s="14" t="n">
        <v>49</v>
      </c>
      <c r="C174" s="14" t="n">
        <v>2</v>
      </c>
      <c r="D174" s="14" t="n">
        <v>2</v>
      </c>
      <c r="E174" s="14" t="s">
        <v>1567</v>
      </c>
      <c r="F174" s="14" t="s">
        <v>1569</v>
      </c>
      <c r="G174" s="14"/>
      <c r="H174" s="14"/>
      <c r="I174" s="14" t="s">
        <v>1570</v>
      </c>
      <c r="J174" s="14"/>
    </row>
    <row r="175" customFormat="false" ht="14.5" hidden="false" customHeight="false" outlineLevel="0" collapsed="false">
      <c r="A175" s="14" t="s">
        <v>1566</v>
      </c>
      <c r="B175" s="14" t="n">
        <v>49</v>
      </c>
      <c r="C175" s="14" t="n">
        <v>2</v>
      </c>
      <c r="D175" s="14" t="n">
        <v>3</v>
      </c>
      <c r="E175" s="14" t="s">
        <v>1571</v>
      </c>
      <c r="F175" s="14" t="s">
        <v>1572</v>
      </c>
      <c r="G175" s="14"/>
      <c r="H175" s="14"/>
      <c r="I175" s="14" t="s">
        <v>1573</v>
      </c>
      <c r="J175" s="14"/>
    </row>
    <row r="176" customFormat="false" ht="14.5" hidden="false" customHeight="false" outlineLevel="0" collapsed="false">
      <c r="A176" s="14" t="s">
        <v>1574</v>
      </c>
      <c r="B176" s="14" t="n">
        <v>49</v>
      </c>
      <c r="C176" s="14" t="n">
        <v>3</v>
      </c>
      <c r="D176" s="14" t="n">
        <v>1</v>
      </c>
      <c r="E176" s="14" t="s">
        <v>1575</v>
      </c>
      <c r="F176" s="14" t="s">
        <v>1389</v>
      </c>
      <c r="G176" s="14"/>
      <c r="H176" s="14"/>
      <c r="I176" s="14" t="s">
        <v>1576</v>
      </c>
      <c r="J176" s="14"/>
    </row>
    <row r="177" customFormat="false" ht="14.5" hidden="true" customHeight="false" outlineLevel="0" collapsed="false">
      <c r="A177" s="14" t="s">
        <v>1574</v>
      </c>
      <c r="B177" s="14" t="n">
        <v>49</v>
      </c>
      <c r="C177" s="14" t="n">
        <v>3</v>
      </c>
      <c r="D177" s="14" t="n">
        <v>2</v>
      </c>
      <c r="E177" s="14" t="s">
        <v>1577</v>
      </c>
      <c r="F177" s="14" t="s">
        <v>1319</v>
      </c>
      <c r="G177" s="14"/>
      <c r="H177" s="14"/>
      <c r="I177" s="14" t="s">
        <v>1578</v>
      </c>
      <c r="J177" s="14"/>
    </row>
    <row r="178" customFormat="false" ht="14.5" hidden="false" customHeight="false" outlineLevel="0" collapsed="false">
      <c r="A178" s="14" t="s">
        <v>1574</v>
      </c>
      <c r="B178" s="14" t="n">
        <v>49</v>
      </c>
      <c r="C178" s="14" t="n">
        <v>3</v>
      </c>
      <c r="D178" s="14" t="n">
        <v>3</v>
      </c>
      <c r="E178" s="14" t="s">
        <v>1579</v>
      </c>
      <c r="F178" s="14" t="s">
        <v>1580</v>
      </c>
      <c r="G178" s="14"/>
      <c r="H178" s="14"/>
      <c r="I178" s="14" t="s">
        <v>1581</v>
      </c>
      <c r="J178" s="14"/>
    </row>
    <row r="179" customFormat="false" ht="14.5" hidden="true" customHeight="false" outlineLevel="0" collapsed="false">
      <c r="A179" s="14" t="s">
        <v>1574</v>
      </c>
      <c r="B179" s="14" t="n">
        <v>49</v>
      </c>
      <c r="C179" s="14" t="n">
        <v>3</v>
      </c>
      <c r="D179" s="14" t="n">
        <v>4</v>
      </c>
      <c r="E179" s="14" t="s">
        <v>1579</v>
      </c>
      <c r="F179" s="14" t="s">
        <v>1582</v>
      </c>
      <c r="G179" s="14"/>
      <c r="H179" s="14"/>
      <c r="I179" s="14" t="s">
        <v>1583</v>
      </c>
      <c r="J179" s="14"/>
    </row>
    <row r="180" customFormat="false" ht="14.5" hidden="false" customHeight="false" outlineLevel="0" collapsed="false">
      <c r="A180" s="14" t="s">
        <v>1013</v>
      </c>
      <c r="B180" s="14" t="n">
        <v>52</v>
      </c>
      <c r="C180" s="14" t="n">
        <v>1</v>
      </c>
      <c r="D180" s="14" t="n">
        <v>1</v>
      </c>
      <c r="E180" s="14" t="s">
        <v>1584</v>
      </c>
      <c r="F180" s="14" t="s">
        <v>1585</v>
      </c>
      <c r="G180" s="14"/>
      <c r="H180" s="14"/>
      <c r="I180" s="14" t="s">
        <v>1586</v>
      </c>
      <c r="J180" s="14" t="s">
        <v>1587</v>
      </c>
    </row>
    <row r="181" customFormat="false" ht="14.5" hidden="false" customHeight="false" outlineLevel="0" collapsed="false">
      <c r="A181" s="14" t="s">
        <v>1013</v>
      </c>
      <c r="B181" s="14" t="n">
        <v>52</v>
      </c>
      <c r="C181" s="14" t="n">
        <v>1</v>
      </c>
      <c r="D181" s="14" t="n">
        <v>1</v>
      </c>
      <c r="E181" s="14" t="s">
        <v>1228</v>
      </c>
      <c r="F181" s="14" t="s">
        <v>1588</v>
      </c>
      <c r="G181" s="14"/>
      <c r="H181" s="14"/>
      <c r="I181" s="14" t="s">
        <v>1589</v>
      </c>
      <c r="J181" s="14"/>
    </row>
    <row r="182" customFormat="false" ht="14.5" hidden="false" customHeight="false" outlineLevel="0" collapsed="false">
      <c r="A182" s="14" t="s">
        <v>1013</v>
      </c>
      <c r="B182" s="14" t="n">
        <v>52</v>
      </c>
      <c r="C182" s="14" t="n">
        <v>1</v>
      </c>
      <c r="D182" s="14" t="n">
        <v>2</v>
      </c>
      <c r="E182" s="14" t="s">
        <v>1030</v>
      </c>
      <c r="F182" s="14" t="s">
        <v>1590</v>
      </c>
      <c r="G182" s="14"/>
      <c r="H182" s="14"/>
      <c r="I182" s="14" t="s">
        <v>1591</v>
      </c>
      <c r="J182" s="14"/>
    </row>
    <row r="183" customFormat="false" ht="14.5" hidden="true" customHeight="false" outlineLevel="0" collapsed="false">
      <c r="A183" s="14" t="s">
        <v>1013</v>
      </c>
      <c r="B183" s="14" t="n">
        <v>52</v>
      </c>
      <c r="C183" s="14" t="n">
        <v>1</v>
      </c>
      <c r="D183" s="14" t="n">
        <v>3</v>
      </c>
      <c r="E183" s="14" t="s">
        <v>1592</v>
      </c>
      <c r="F183" s="14" t="s">
        <v>1593</v>
      </c>
      <c r="G183" s="14"/>
      <c r="H183" s="14"/>
      <c r="I183" s="14" t="s">
        <v>1594</v>
      </c>
      <c r="J183" s="14"/>
    </row>
    <row r="184" customFormat="false" ht="14.5" hidden="true" customHeight="false" outlineLevel="0" collapsed="false">
      <c r="A184" s="14" t="s">
        <v>1013</v>
      </c>
      <c r="B184" s="14" t="n">
        <v>52</v>
      </c>
      <c r="C184" s="14" t="n">
        <v>1</v>
      </c>
      <c r="D184" s="14" t="n">
        <v>4</v>
      </c>
      <c r="E184" s="14" t="s">
        <v>1096</v>
      </c>
      <c r="F184" s="14" t="s">
        <v>1393</v>
      </c>
      <c r="G184" s="14"/>
      <c r="H184" s="14"/>
      <c r="I184" s="14" t="s">
        <v>1595</v>
      </c>
      <c r="J184" s="14"/>
    </row>
    <row r="185" customFormat="false" ht="14.5" hidden="true" customHeight="false" outlineLevel="0" collapsed="false">
      <c r="A185" s="14" t="s">
        <v>1013</v>
      </c>
      <c r="B185" s="14" t="n">
        <v>52</v>
      </c>
      <c r="C185" s="14" t="n">
        <v>1</v>
      </c>
      <c r="D185" s="14" t="n">
        <v>5</v>
      </c>
      <c r="E185" s="14" t="s">
        <v>1014</v>
      </c>
      <c r="F185" s="14" t="s">
        <v>1596</v>
      </c>
      <c r="G185" s="14"/>
      <c r="H185" s="14"/>
      <c r="I185" s="14" t="s">
        <v>1597</v>
      </c>
      <c r="J185" s="14"/>
    </row>
    <row r="186" customFormat="false" ht="14.5" hidden="true" customHeight="false" outlineLevel="0" collapsed="false">
      <c r="A186" s="14" t="s">
        <v>1013</v>
      </c>
      <c r="B186" s="14" t="n">
        <v>52</v>
      </c>
      <c r="C186" s="14" t="n">
        <v>1</v>
      </c>
      <c r="D186" s="14" t="n">
        <v>1</v>
      </c>
      <c r="E186" s="14" t="s">
        <v>930</v>
      </c>
      <c r="F186" s="14" t="s">
        <v>1598</v>
      </c>
      <c r="G186" s="14"/>
      <c r="H186" s="14"/>
      <c r="I186" s="14" t="s">
        <v>1599</v>
      </c>
      <c r="J186" s="14"/>
    </row>
    <row r="187" customFormat="false" ht="14.5" hidden="true" customHeight="false" outlineLevel="0" collapsed="false">
      <c r="A187" s="14" t="s">
        <v>1013</v>
      </c>
      <c r="B187" s="14" t="n">
        <v>52</v>
      </c>
      <c r="C187" s="14" t="n">
        <v>1</v>
      </c>
      <c r="D187" s="14" t="n">
        <v>2</v>
      </c>
      <c r="E187" s="14" t="s">
        <v>1600</v>
      </c>
      <c r="F187" s="14" t="s">
        <v>1598</v>
      </c>
      <c r="G187" s="14"/>
      <c r="H187" s="14"/>
      <c r="I187" s="14" t="s">
        <v>1601</v>
      </c>
      <c r="J187" s="14"/>
    </row>
    <row r="188" customFormat="false" ht="14.5" hidden="false" customHeight="false" outlineLevel="0" collapsed="false">
      <c r="A188" s="14" t="s">
        <v>1013</v>
      </c>
      <c r="B188" s="14" t="n">
        <v>52</v>
      </c>
      <c r="C188" s="14" t="n">
        <v>1</v>
      </c>
      <c r="D188" s="14" t="n">
        <v>1</v>
      </c>
      <c r="E188" s="14" t="s">
        <v>1602</v>
      </c>
      <c r="F188" s="14" t="s">
        <v>1205</v>
      </c>
      <c r="G188" s="14"/>
      <c r="H188" s="14"/>
      <c r="I188" s="14" t="s">
        <v>1603</v>
      </c>
      <c r="J188" s="14"/>
    </row>
    <row r="189" customFormat="false" ht="14.5" hidden="false" customHeight="false" outlineLevel="0" collapsed="false">
      <c r="A189" s="14" t="s">
        <v>1013</v>
      </c>
      <c r="B189" s="14" t="n">
        <v>52</v>
      </c>
      <c r="C189" s="14" t="n">
        <v>1</v>
      </c>
      <c r="D189" s="14" t="n">
        <v>2</v>
      </c>
      <c r="E189" s="14" t="s">
        <v>1604</v>
      </c>
      <c r="F189" s="14" t="s">
        <v>1365</v>
      </c>
      <c r="G189" s="14"/>
      <c r="H189" s="14"/>
      <c r="I189" s="14" t="s">
        <v>1605</v>
      </c>
      <c r="J189" s="14"/>
    </row>
    <row r="190" customFormat="false" ht="14.5" hidden="false" customHeight="false" outlineLevel="0" collapsed="false">
      <c r="A190" s="14" t="s">
        <v>1013</v>
      </c>
      <c r="B190" s="14" t="n">
        <v>52</v>
      </c>
      <c r="C190" s="14" t="n">
        <v>1</v>
      </c>
      <c r="D190" s="14" t="n">
        <v>3</v>
      </c>
      <c r="E190" s="14" t="s">
        <v>1606</v>
      </c>
      <c r="F190" s="14" t="s">
        <v>1607</v>
      </c>
      <c r="G190" s="14"/>
      <c r="H190" s="14"/>
      <c r="I190" s="14" t="s">
        <v>1608</v>
      </c>
      <c r="J190" s="14"/>
    </row>
    <row r="191" customFormat="false" ht="14.5" hidden="true" customHeight="false" outlineLevel="0" collapsed="false">
      <c r="A191" s="14" t="s">
        <v>1016</v>
      </c>
      <c r="B191" s="14" t="n">
        <v>52</v>
      </c>
      <c r="C191" s="14" t="n">
        <v>2</v>
      </c>
      <c r="D191" s="14" t="n">
        <v>1</v>
      </c>
      <c r="E191" s="14" t="s">
        <v>1609</v>
      </c>
      <c r="F191" s="14" t="s">
        <v>1610</v>
      </c>
      <c r="G191" s="14"/>
      <c r="H191" s="14"/>
      <c r="I191" s="14" t="s">
        <v>1611</v>
      </c>
      <c r="J191" s="14"/>
    </row>
    <row r="192" customFormat="false" ht="14.5" hidden="true" customHeight="false" outlineLevel="0" collapsed="false">
      <c r="A192" s="14" t="s">
        <v>1016</v>
      </c>
      <c r="B192" s="14" t="n">
        <v>52</v>
      </c>
      <c r="C192" s="14" t="n">
        <v>2</v>
      </c>
      <c r="D192" s="14" t="n">
        <v>2</v>
      </c>
      <c r="E192" s="14" t="s">
        <v>1600</v>
      </c>
      <c r="F192" s="14" t="s">
        <v>1610</v>
      </c>
      <c r="G192" s="14"/>
      <c r="H192" s="14"/>
      <c r="I192" s="14" t="s">
        <v>1612</v>
      </c>
      <c r="J192" s="14"/>
    </row>
    <row r="193" customFormat="false" ht="14.5" hidden="false" customHeight="false" outlineLevel="0" collapsed="false">
      <c r="A193" s="14" t="s">
        <v>1016</v>
      </c>
      <c r="B193" s="14" t="n">
        <v>52</v>
      </c>
      <c r="C193" s="14" t="n">
        <v>2</v>
      </c>
      <c r="D193" s="14" t="n">
        <v>3</v>
      </c>
      <c r="E193" s="14" t="s">
        <v>1613</v>
      </c>
      <c r="F193" s="14" t="s">
        <v>1614</v>
      </c>
      <c r="G193" s="14"/>
      <c r="H193" s="14"/>
      <c r="I193" s="14" t="s">
        <v>1615</v>
      </c>
      <c r="J193" s="14"/>
    </row>
    <row r="194" customFormat="false" ht="14.5" hidden="false" customHeight="false" outlineLevel="0" collapsed="false">
      <c r="A194" s="14" t="s">
        <v>1016</v>
      </c>
      <c r="B194" s="14" t="n">
        <v>52</v>
      </c>
      <c r="C194" s="14" t="n">
        <v>2</v>
      </c>
      <c r="D194" s="14" t="n">
        <v>4</v>
      </c>
      <c r="E194" s="14" t="s">
        <v>970</v>
      </c>
      <c r="F194" s="14" t="s">
        <v>1306</v>
      </c>
      <c r="G194" s="14"/>
      <c r="H194" s="14"/>
      <c r="I194" s="14" t="s">
        <v>1616</v>
      </c>
      <c r="J194" s="14"/>
    </row>
    <row r="195" customFormat="false" ht="14.5" hidden="false" customHeight="false" outlineLevel="0" collapsed="false">
      <c r="A195" s="14" t="s">
        <v>1016</v>
      </c>
      <c r="B195" s="14" t="n">
        <v>52</v>
      </c>
      <c r="C195" s="14" t="n">
        <v>2</v>
      </c>
      <c r="D195" s="14" t="n">
        <v>5</v>
      </c>
      <c r="E195" s="14" t="s">
        <v>1617</v>
      </c>
      <c r="F195" s="14" t="s">
        <v>1306</v>
      </c>
      <c r="G195" s="14"/>
      <c r="H195" s="14"/>
      <c r="I195" s="14" t="s">
        <v>1618</v>
      </c>
      <c r="J195" s="14"/>
    </row>
    <row r="196" customFormat="false" ht="14.5" hidden="false" customHeight="false" outlineLevel="0" collapsed="false">
      <c r="A196" s="14" t="s">
        <v>1016</v>
      </c>
      <c r="B196" s="14" t="n">
        <v>52</v>
      </c>
      <c r="C196" s="14" t="n">
        <v>2</v>
      </c>
      <c r="D196" s="14" t="n">
        <v>6</v>
      </c>
      <c r="E196" s="14" t="s">
        <v>1056</v>
      </c>
      <c r="F196" s="14" t="s">
        <v>1619</v>
      </c>
      <c r="G196" s="14"/>
      <c r="H196" s="14"/>
      <c r="I196" s="14" t="s">
        <v>1620</v>
      </c>
      <c r="J196" s="14"/>
    </row>
    <row r="197" customFormat="false" ht="14.5" hidden="false" customHeight="false" outlineLevel="0" collapsed="false">
      <c r="A197" s="14" t="s">
        <v>1016</v>
      </c>
      <c r="B197" s="14" t="n">
        <v>52</v>
      </c>
      <c r="C197" s="14" t="n">
        <v>2</v>
      </c>
      <c r="D197" s="14" t="n">
        <v>1</v>
      </c>
      <c r="E197" s="14" t="s">
        <v>1022</v>
      </c>
      <c r="F197" s="14" t="s">
        <v>1621</v>
      </c>
      <c r="G197" s="14"/>
      <c r="H197" s="14"/>
      <c r="I197" s="14" t="s">
        <v>1622</v>
      </c>
      <c r="J197" s="14"/>
    </row>
    <row r="198" customFormat="false" ht="14.5" hidden="false" customHeight="false" outlineLevel="0" collapsed="false">
      <c r="A198" s="14" t="s">
        <v>1016</v>
      </c>
      <c r="B198" s="14" t="n">
        <v>52</v>
      </c>
      <c r="C198" s="14" t="n">
        <v>2</v>
      </c>
      <c r="D198" s="14" t="n">
        <v>2</v>
      </c>
      <c r="E198" s="14" t="s">
        <v>1600</v>
      </c>
      <c r="F198" s="14" t="s">
        <v>1621</v>
      </c>
      <c r="G198" s="14"/>
      <c r="H198" s="14"/>
      <c r="I198" s="14" t="s">
        <v>1623</v>
      </c>
      <c r="J198" s="14"/>
    </row>
    <row r="199" customFormat="false" ht="14.5" hidden="false" customHeight="false" outlineLevel="0" collapsed="false">
      <c r="A199" s="14" t="s">
        <v>1016</v>
      </c>
      <c r="B199" s="14" t="n">
        <v>52</v>
      </c>
      <c r="C199" s="14" t="n">
        <v>2</v>
      </c>
      <c r="D199" s="14" t="n">
        <v>3</v>
      </c>
      <c r="E199" s="14" t="s">
        <v>928</v>
      </c>
      <c r="F199" s="14" t="s">
        <v>1621</v>
      </c>
      <c r="G199" s="14"/>
      <c r="H199" s="14"/>
      <c r="I199" s="14" t="s">
        <v>1624</v>
      </c>
      <c r="J199" s="14"/>
    </row>
    <row r="200" customFormat="false" ht="14.5" hidden="false" customHeight="false" outlineLevel="0" collapsed="false">
      <c r="A200" s="14" t="s">
        <v>1016</v>
      </c>
      <c r="B200" s="14" t="n">
        <v>52</v>
      </c>
      <c r="C200" s="14" t="n">
        <v>2</v>
      </c>
      <c r="D200" s="14" t="n">
        <v>4</v>
      </c>
      <c r="E200" s="14" t="s">
        <v>1020</v>
      </c>
      <c r="F200" s="14" t="s">
        <v>1621</v>
      </c>
      <c r="G200" s="14"/>
      <c r="H200" s="14"/>
      <c r="I200" s="14" t="s">
        <v>1625</v>
      </c>
      <c r="J200" s="14"/>
    </row>
    <row r="201" customFormat="false" ht="14.5" hidden="false" customHeight="false" outlineLevel="0" collapsed="false">
      <c r="A201" s="14" t="s">
        <v>1016</v>
      </c>
      <c r="B201" s="14" t="n">
        <v>52</v>
      </c>
      <c r="C201" s="14" t="n">
        <v>2</v>
      </c>
      <c r="D201" s="14" t="n">
        <v>5</v>
      </c>
      <c r="E201" s="14" t="s">
        <v>1058</v>
      </c>
      <c r="F201" s="14" t="s">
        <v>1626</v>
      </c>
      <c r="G201" s="14"/>
      <c r="H201" s="14"/>
      <c r="I201" s="14" t="s">
        <v>1627</v>
      </c>
      <c r="J201" s="14"/>
    </row>
    <row r="202" customFormat="false" ht="14.5" hidden="true" customHeight="false" outlineLevel="0" collapsed="false">
      <c r="A202" s="14" t="s">
        <v>1016</v>
      </c>
      <c r="B202" s="14" t="n">
        <v>52</v>
      </c>
      <c r="C202" s="14" t="n">
        <v>2</v>
      </c>
      <c r="D202" s="14" t="n">
        <v>6</v>
      </c>
      <c r="E202" s="14" t="s">
        <v>1628</v>
      </c>
      <c r="F202" s="14" t="s">
        <v>1629</v>
      </c>
      <c r="G202" s="14"/>
      <c r="H202" s="14"/>
      <c r="I202" s="14" t="s">
        <v>1630</v>
      </c>
      <c r="J202" s="14"/>
    </row>
    <row r="203" customFormat="false" ht="14.5" hidden="true" customHeight="false" outlineLevel="0" collapsed="false">
      <c r="A203" s="14" t="s">
        <v>1016</v>
      </c>
      <c r="B203" s="14" t="n">
        <v>52</v>
      </c>
      <c r="C203" s="14" t="n">
        <v>2</v>
      </c>
      <c r="D203" s="14" t="n">
        <v>7</v>
      </c>
      <c r="E203" s="14" t="s">
        <v>1020</v>
      </c>
      <c r="F203" s="14" t="s">
        <v>1631</v>
      </c>
      <c r="G203" s="14"/>
      <c r="H203" s="14"/>
      <c r="I203" s="14" t="s">
        <v>1632</v>
      </c>
      <c r="J203" s="14"/>
    </row>
    <row r="204" customFormat="false" ht="14.5" hidden="true" customHeight="false" outlineLevel="0" collapsed="false">
      <c r="A204" s="14" t="s">
        <v>1029</v>
      </c>
      <c r="B204" s="14" t="n">
        <v>52</v>
      </c>
      <c r="C204" s="14" t="n">
        <v>3</v>
      </c>
      <c r="D204" s="14" t="n">
        <v>1</v>
      </c>
      <c r="E204" s="14" t="s">
        <v>1633</v>
      </c>
      <c r="F204" s="14" t="s">
        <v>1216</v>
      </c>
      <c r="G204" s="14"/>
      <c r="H204" s="14"/>
      <c r="I204" s="14" t="s">
        <v>1634</v>
      </c>
      <c r="J204" s="14"/>
    </row>
    <row r="205" customFormat="false" ht="14.5" hidden="true" customHeight="false" outlineLevel="0" collapsed="false">
      <c r="A205" s="14" t="s">
        <v>1029</v>
      </c>
      <c r="B205" s="14" t="n">
        <v>52</v>
      </c>
      <c r="C205" s="14" t="n">
        <v>3</v>
      </c>
      <c r="D205" s="14" t="n">
        <v>2</v>
      </c>
      <c r="E205" s="14" t="s">
        <v>1635</v>
      </c>
      <c r="F205" s="14" t="s">
        <v>1216</v>
      </c>
      <c r="G205" s="14"/>
      <c r="H205" s="14"/>
      <c r="I205" s="14" t="s">
        <v>1636</v>
      </c>
      <c r="J205" s="14"/>
    </row>
    <row r="206" customFormat="false" ht="14.5" hidden="true" customHeight="false" outlineLevel="0" collapsed="false">
      <c r="A206" s="14" t="s">
        <v>1029</v>
      </c>
      <c r="B206" s="14" t="n">
        <v>52</v>
      </c>
      <c r="C206" s="14" t="n">
        <v>3</v>
      </c>
      <c r="D206" s="14" t="n">
        <v>3</v>
      </c>
      <c r="E206" s="14" t="s">
        <v>1637</v>
      </c>
      <c r="F206" s="14" t="s">
        <v>1638</v>
      </c>
      <c r="G206" s="14"/>
      <c r="H206" s="14"/>
      <c r="I206" s="14" t="s">
        <v>1639</v>
      </c>
      <c r="J206" s="14"/>
    </row>
    <row r="207" customFormat="false" ht="14.5" hidden="true" customHeight="false" outlineLevel="0" collapsed="false">
      <c r="A207" s="14" t="s">
        <v>1029</v>
      </c>
      <c r="B207" s="14" t="n">
        <v>52</v>
      </c>
      <c r="C207" s="14" t="n">
        <v>3</v>
      </c>
      <c r="D207" s="14" t="n">
        <v>4</v>
      </c>
      <c r="E207" s="14" t="s">
        <v>1584</v>
      </c>
      <c r="F207" s="14" t="s">
        <v>1638</v>
      </c>
      <c r="G207" s="14"/>
      <c r="H207" s="14"/>
      <c r="I207" s="14" t="s">
        <v>1640</v>
      </c>
      <c r="J207" s="14"/>
    </row>
    <row r="208" customFormat="false" ht="14.5" hidden="true" customHeight="false" outlineLevel="0" collapsed="false">
      <c r="A208" s="14" t="s">
        <v>1029</v>
      </c>
      <c r="B208" s="14" t="n">
        <v>52</v>
      </c>
      <c r="C208" s="14" t="n">
        <v>3</v>
      </c>
      <c r="D208" s="14" t="n">
        <v>5</v>
      </c>
      <c r="E208" s="14" t="s">
        <v>1641</v>
      </c>
      <c r="F208" s="14" t="s">
        <v>1216</v>
      </c>
      <c r="G208" s="14"/>
      <c r="H208" s="14"/>
      <c r="I208" s="14" t="s">
        <v>1642</v>
      </c>
      <c r="J208" s="14"/>
    </row>
    <row r="209" customFormat="false" ht="14.5" hidden="false" customHeight="false" outlineLevel="0" collapsed="false">
      <c r="A209" s="14" t="s">
        <v>1029</v>
      </c>
      <c r="B209" s="14" t="n">
        <v>52</v>
      </c>
      <c r="C209" s="14" t="n">
        <v>3</v>
      </c>
      <c r="D209" s="14" t="n">
        <v>6</v>
      </c>
      <c r="E209" s="14" t="s">
        <v>1643</v>
      </c>
      <c r="F209" s="14" t="s">
        <v>1644</v>
      </c>
      <c r="G209" s="14"/>
      <c r="H209" s="14"/>
      <c r="I209" s="14" t="s">
        <v>1645</v>
      </c>
      <c r="J209" s="14"/>
    </row>
    <row r="210" customFormat="false" ht="14.5" hidden="false" customHeight="false" outlineLevel="0" collapsed="false">
      <c r="A210" s="14" t="s">
        <v>1029</v>
      </c>
      <c r="B210" s="14" t="n">
        <v>52</v>
      </c>
      <c r="C210" s="14" t="n">
        <v>3</v>
      </c>
      <c r="D210" s="14" t="n">
        <v>7</v>
      </c>
      <c r="E210" s="14" t="s">
        <v>1646</v>
      </c>
      <c r="F210" s="14" t="s">
        <v>1647</v>
      </c>
      <c r="G210" s="14"/>
      <c r="H210" s="14"/>
      <c r="I210" s="14" t="s">
        <v>1648</v>
      </c>
      <c r="J210" s="14"/>
    </row>
    <row r="211" customFormat="false" ht="14.5" hidden="false" customHeight="false" outlineLevel="0" collapsed="false">
      <c r="A211" s="14" t="s">
        <v>1029</v>
      </c>
      <c r="B211" s="14" t="n">
        <v>52</v>
      </c>
      <c r="C211" s="14" t="n">
        <v>3</v>
      </c>
      <c r="D211" s="14" t="n">
        <v>1</v>
      </c>
      <c r="E211" s="14" t="s">
        <v>1228</v>
      </c>
      <c r="F211" s="14" t="s">
        <v>1649</v>
      </c>
      <c r="G211" s="14"/>
      <c r="H211" s="14"/>
      <c r="I211" s="14" t="s">
        <v>1650</v>
      </c>
      <c r="J211" s="14"/>
    </row>
    <row r="212" customFormat="false" ht="14.5" hidden="false" customHeight="false" outlineLevel="0" collapsed="false">
      <c r="A212" s="14" t="s">
        <v>1029</v>
      </c>
      <c r="B212" s="14" t="n">
        <v>52</v>
      </c>
      <c r="C212" s="14" t="n">
        <v>3</v>
      </c>
      <c r="D212" s="14" t="n">
        <v>2</v>
      </c>
      <c r="E212" s="14" t="s">
        <v>1096</v>
      </c>
      <c r="F212" s="14" t="s">
        <v>1651</v>
      </c>
      <c r="G212" s="14"/>
      <c r="H212" s="14"/>
      <c r="I212" s="14" t="s">
        <v>1652</v>
      </c>
      <c r="J212" s="14"/>
    </row>
    <row r="213" customFormat="false" ht="14.5" hidden="true" customHeight="false" outlineLevel="0" collapsed="false">
      <c r="A213" s="14" t="s">
        <v>1029</v>
      </c>
      <c r="B213" s="14" t="n">
        <v>52</v>
      </c>
      <c r="C213" s="14" t="n">
        <v>3</v>
      </c>
      <c r="D213" s="14" t="n">
        <v>3</v>
      </c>
      <c r="E213" s="14" t="s">
        <v>1653</v>
      </c>
      <c r="F213" s="14" t="s">
        <v>1393</v>
      </c>
      <c r="G213" s="14"/>
      <c r="H213" s="14"/>
      <c r="I213" s="14" t="s">
        <v>1654</v>
      </c>
      <c r="J213" s="14"/>
    </row>
    <row r="214" customFormat="false" ht="14.5" hidden="true" customHeight="false" outlineLevel="0" collapsed="false">
      <c r="A214" s="14" t="s">
        <v>1029</v>
      </c>
      <c r="B214" s="14" t="n">
        <v>52</v>
      </c>
      <c r="C214" s="14" t="n">
        <v>3</v>
      </c>
      <c r="D214" s="14" t="n">
        <v>4</v>
      </c>
      <c r="E214" s="14" t="s">
        <v>1014</v>
      </c>
      <c r="F214" s="14" t="s">
        <v>1655</v>
      </c>
      <c r="G214" s="14"/>
      <c r="H214" s="14"/>
      <c r="I214" s="14" t="s">
        <v>1656</v>
      </c>
      <c r="J214" s="14"/>
    </row>
    <row r="215" customFormat="false" ht="14.5" hidden="true" customHeight="false" outlineLevel="0" collapsed="false">
      <c r="A215" s="14" t="s">
        <v>1029</v>
      </c>
      <c r="B215" s="14" t="n">
        <v>52</v>
      </c>
      <c r="C215" s="14" t="n">
        <v>3</v>
      </c>
      <c r="D215" s="14" t="n">
        <v>5</v>
      </c>
      <c r="E215" s="14" t="s">
        <v>1592</v>
      </c>
      <c r="F215" s="14" t="s">
        <v>1657</v>
      </c>
      <c r="G215" s="14"/>
      <c r="H215" s="14"/>
      <c r="I215" s="14" t="s">
        <v>1658</v>
      </c>
      <c r="J215" s="14"/>
    </row>
    <row r="216" customFormat="false" ht="14.5" hidden="true" customHeight="false" outlineLevel="0" collapsed="false">
      <c r="A216" s="14" t="s">
        <v>1029</v>
      </c>
      <c r="B216" s="14" t="n">
        <v>52</v>
      </c>
      <c r="C216" s="14" t="n">
        <v>3</v>
      </c>
      <c r="D216" s="14" t="n">
        <v>1</v>
      </c>
      <c r="E216" s="14" t="s">
        <v>1659</v>
      </c>
      <c r="F216" s="14" t="s">
        <v>1557</v>
      </c>
      <c r="G216" s="14"/>
      <c r="H216" s="14"/>
      <c r="I216" s="14" t="s">
        <v>1660</v>
      </c>
      <c r="J216" s="14"/>
    </row>
    <row r="217" customFormat="false" ht="14.5" hidden="true" customHeight="false" outlineLevel="0" collapsed="false">
      <c r="A217" s="14" t="s">
        <v>1029</v>
      </c>
      <c r="B217" s="14" t="n">
        <v>52</v>
      </c>
      <c r="C217" s="14" t="n">
        <v>3</v>
      </c>
      <c r="D217" s="14" t="n">
        <v>2</v>
      </c>
      <c r="E217" s="14" t="s">
        <v>1661</v>
      </c>
      <c r="F217" s="14" t="s">
        <v>1174</v>
      </c>
      <c r="G217" s="14"/>
      <c r="H217" s="14"/>
      <c r="I217" s="14" t="s">
        <v>1662</v>
      </c>
      <c r="J217" s="14"/>
    </row>
    <row r="218" customFormat="false" ht="14.5" hidden="true" customHeight="false" outlineLevel="0" collapsed="false">
      <c r="A218" s="14" t="s">
        <v>1029</v>
      </c>
      <c r="B218" s="14" t="n">
        <v>52</v>
      </c>
      <c r="C218" s="14" t="n">
        <v>3</v>
      </c>
      <c r="D218" s="14" t="n">
        <v>3</v>
      </c>
      <c r="E218" s="14" t="s">
        <v>1663</v>
      </c>
      <c r="F218" s="14" t="s">
        <v>1664</v>
      </c>
      <c r="G218" s="14"/>
      <c r="H218" s="14"/>
      <c r="I218" s="14" t="s">
        <v>1665</v>
      </c>
      <c r="J218" s="14"/>
    </row>
    <row r="219" customFormat="false" ht="14.5" hidden="false" customHeight="false" outlineLevel="0" collapsed="false">
      <c r="A219" s="14" t="s">
        <v>1666</v>
      </c>
      <c r="B219" s="14" t="n">
        <v>58</v>
      </c>
      <c r="C219" s="14" t="n">
        <v>2</v>
      </c>
      <c r="D219" s="14" t="n">
        <v>1</v>
      </c>
      <c r="E219" s="14" t="s">
        <v>1105</v>
      </c>
      <c r="F219" s="14" t="s">
        <v>1335</v>
      </c>
      <c r="G219" s="14"/>
      <c r="H219" s="14"/>
      <c r="I219" s="14" t="s">
        <v>1667</v>
      </c>
      <c r="J219" s="14"/>
    </row>
    <row r="220" customFormat="false" ht="14.5" hidden="false" customHeight="false" outlineLevel="0" collapsed="false">
      <c r="A220" s="14" t="s">
        <v>1666</v>
      </c>
      <c r="B220" s="14" t="n">
        <v>58</v>
      </c>
      <c r="C220" s="14" t="n">
        <v>2</v>
      </c>
      <c r="D220" s="14" t="n">
        <v>2</v>
      </c>
      <c r="E220" s="14" t="s">
        <v>1107</v>
      </c>
      <c r="F220" s="14" t="s">
        <v>1332</v>
      </c>
      <c r="G220" s="14"/>
      <c r="H220" s="14"/>
      <c r="I220" s="14" t="s">
        <v>1668</v>
      </c>
      <c r="J220" s="14"/>
    </row>
    <row r="221" customFormat="false" ht="14.5" hidden="false" customHeight="false" outlineLevel="0" collapsed="false">
      <c r="A221" s="14" t="s">
        <v>1666</v>
      </c>
      <c r="B221" s="14" t="n">
        <v>58</v>
      </c>
      <c r="C221" s="14" t="n">
        <v>2</v>
      </c>
      <c r="D221" s="14" t="n">
        <v>3</v>
      </c>
      <c r="E221" s="14" t="s">
        <v>1669</v>
      </c>
      <c r="F221" s="14" t="s">
        <v>1670</v>
      </c>
      <c r="G221" s="14"/>
      <c r="H221" s="14"/>
      <c r="I221" s="14" t="s">
        <v>1671</v>
      </c>
      <c r="J221" s="14"/>
    </row>
    <row r="222" customFormat="false" ht="14.5" hidden="true" customHeight="false" outlineLevel="0" collapsed="false">
      <c r="A222" s="14" t="s">
        <v>1672</v>
      </c>
      <c r="B222" s="14" t="n">
        <v>59</v>
      </c>
      <c r="C222" s="14" t="n">
        <v>1</v>
      </c>
      <c r="D222" s="14" t="n">
        <v>1</v>
      </c>
      <c r="E222" s="14" t="s">
        <v>1673</v>
      </c>
      <c r="F222" s="14" t="s">
        <v>1480</v>
      </c>
      <c r="G222" s="14"/>
      <c r="H222" s="14"/>
      <c r="I222" s="14" t="s">
        <v>1674</v>
      </c>
      <c r="J222" s="14"/>
    </row>
    <row r="223" customFormat="false" ht="14.5" hidden="true" customHeight="false" outlineLevel="0" collapsed="false">
      <c r="A223" s="14" t="s">
        <v>1672</v>
      </c>
      <c r="B223" s="14" t="n">
        <v>59</v>
      </c>
      <c r="C223" s="14" t="n">
        <v>1</v>
      </c>
      <c r="D223" s="14" t="n">
        <v>2</v>
      </c>
      <c r="E223" s="14" t="s">
        <v>1675</v>
      </c>
      <c r="F223" s="14" t="s">
        <v>1676</v>
      </c>
      <c r="G223" s="14"/>
      <c r="H223" s="14"/>
      <c r="I223" s="14" t="s">
        <v>1677</v>
      </c>
      <c r="J223" s="14"/>
    </row>
    <row r="224" customFormat="false" ht="14.5" hidden="true" customHeight="false" outlineLevel="0" collapsed="false">
      <c r="A224" s="14" t="s">
        <v>1672</v>
      </c>
      <c r="B224" s="14" t="n">
        <v>59</v>
      </c>
      <c r="C224" s="14" t="n">
        <v>1</v>
      </c>
      <c r="D224" s="14" t="n">
        <v>3</v>
      </c>
      <c r="E224" s="14" t="s">
        <v>1678</v>
      </c>
      <c r="F224" s="14" t="s">
        <v>1511</v>
      </c>
      <c r="G224" s="14"/>
      <c r="H224" s="14"/>
      <c r="I224" s="14" t="s">
        <v>1679</v>
      </c>
      <c r="J224" s="14"/>
    </row>
    <row r="225" customFormat="false" ht="14.5" hidden="true" customHeight="false" outlineLevel="0" collapsed="false">
      <c r="A225" s="14" t="s">
        <v>1672</v>
      </c>
      <c r="B225" s="14" t="n">
        <v>59</v>
      </c>
      <c r="C225" s="14" t="n">
        <v>1</v>
      </c>
      <c r="D225" s="14" t="n">
        <v>4</v>
      </c>
      <c r="E225" s="14" t="s">
        <v>1592</v>
      </c>
      <c r="F225" s="14" t="s">
        <v>1490</v>
      </c>
      <c r="G225" s="14"/>
      <c r="H225" s="14"/>
      <c r="I225" s="14" t="s">
        <v>1680</v>
      </c>
      <c r="J225" s="14"/>
    </row>
    <row r="226" customFormat="false" ht="14.5" hidden="false" customHeight="false" outlineLevel="0" collapsed="false">
      <c r="A226" s="14" t="s">
        <v>1672</v>
      </c>
      <c r="B226" s="14" t="n">
        <v>59</v>
      </c>
      <c r="C226" s="14" t="n">
        <v>1</v>
      </c>
      <c r="D226" s="14" t="n">
        <v>5</v>
      </c>
      <c r="E226" s="14" t="s">
        <v>1681</v>
      </c>
      <c r="F226" s="14" t="s">
        <v>1682</v>
      </c>
      <c r="G226" s="14"/>
      <c r="H226" s="14"/>
      <c r="I226" s="14" t="s">
        <v>1683</v>
      </c>
      <c r="J226" s="14"/>
    </row>
    <row r="227" customFormat="false" ht="14.5" hidden="true" customHeight="false" outlineLevel="0" collapsed="false">
      <c r="A227" s="14" t="s">
        <v>1672</v>
      </c>
      <c r="B227" s="14" t="n">
        <v>59</v>
      </c>
      <c r="C227" s="14" t="n">
        <v>1</v>
      </c>
      <c r="D227" s="14" t="n">
        <v>1</v>
      </c>
      <c r="E227" s="14" t="s">
        <v>1684</v>
      </c>
      <c r="F227" s="14" t="s">
        <v>1685</v>
      </c>
      <c r="G227" s="14"/>
      <c r="H227" s="14"/>
      <c r="I227" s="14" t="s">
        <v>1686</v>
      </c>
      <c r="J227" s="14"/>
    </row>
    <row r="228" customFormat="false" ht="14.5" hidden="false" customHeight="false" outlineLevel="0" collapsed="false">
      <c r="A228" s="14" t="s">
        <v>1672</v>
      </c>
      <c r="B228" s="14" t="n">
        <v>59</v>
      </c>
      <c r="C228" s="14" t="n">
        <v>1</v>
      </c>
      <c r="D228" s="14" t="n">
        <v>2</v>
      </c>
      <c r="E228" s="14" t="s">
        <v>1687</v>
      </c>
      <c r="F228" s="14" t="s">
        <v>1332</v>
      </c>
      <c r="G228" s="14"/>
      <c r="H228" s="14"/>
      <c r="I228" s="14" t="s">
        <v>1688</v>
      </c>
      <c r="J228" s="14" t="s">
        <v>1689</v>
      </c>
    </row>
    <row r="229" customFormat="false" ht="14.5" hidden="false" customHeight="false" outlineLevel="0" collapsed="false">
      <c r="A229" s="14" t="s">
        <v>1672</v>
      </c>
      <c r="B229" s="14" t="n">
        <v>59</v>
      </c>
      <c r="C229" s="14" t="n">
        <v>1</v>
      </c>
      <c r="D229" s="14" t="n">
        <v>3</v>
      </c>
      <c r="E229" s="14" t="s">
        <v>1684</v>
      </c>
      <c r="F229" s="14" t="s">
        <v>1454</v>
      </c>
      <c r="G229" s="14"/>
      <c r="H229" s="14"/>
      <c r="I229" s="14" t="s">
        <v>1690</v>
      </c>
      <c r="J229" s="14"/>
    </row>
    <row r="230" customFormat="false" ht="14.5" hidden="false" customHeight="false" outlineLevel="0" collapsed="false">
      <c r="A230" s="14" t="s">
        <v>1672</v>
      </c>
      <c r="B230" s="14" t="n">
        <v>59</v>
      </c>
      <c r="C230" s="14" t="n">
        <v>1</v>
      </c>
      <c r="D230" s="14" t="n">
        <v>4</v>
      </c>
      <c r="E230" s="14" t="s">
        <v>1691</v>
      </c>
      <c r="F230" s="14" t="s">
        <v>1548</v>
      </c>
      <c r="G230" s="14"/>
      <c r="H230" s="14"/>
      <c r="I230" s="14" t="s">
        <v>1692</v>
      </c>
      <c r="J230" s="14"/>
    </row>
    <row r="231" customFormat="false" ht="14.5" hidden="false" customHeight="false" outlineLevel="0" collapsed="false">
      <c r="A231" s="14" t="s">
        <v>1693</v>
      </c>
      <c r="B231" s="14" t="n">
        <v>59</v>
      </c>
      <c r="C231" s="14" t="n">
        <v>2</v>
      </c>
      <c r="D231" s="14" t="n">
        <v>1</v>
      </c>
      <c r="E231" s="14" t="s">
        <v>1694</v>
      </c>
      <c r="F231" s="14" t="s">
        <v>1212</v>
      </c>
      <c r="G231" s="14"/>
      <c r="H231" s="14"/>
      <c r="I231" s="14" t="s">
        <v>1695</v>
      </c>
      <c r="J231" s="14"/>
    </row>
    <row r="232" customFormat="false" ht="14.5" hidden="true" customHeight="false" outlineLevel="0" collapsed="false">
      <c r="A232" s="14" t="s">
        <v>1693</v>
      </c>
      <c r="B232" s="14" t="n">
        <v>59</v>
      </c>
      <c r="C232" s="14" t="n">
        <v>2</v>
      </c>
      <c r="D232" s="14" t="n">
        <v>2</v>
      </c>
      <c r="E232" s="14" t="s">
        <v>1696</v>
      </c>
      <c r="F232" s="14" t="s">
        <v>1697</v>
      </c>
      <c r="G232" s="14"/>
      <c r="H232" s="14"/>
      <c r="I232" s="14" t="s">
        <v>1698</v>
      </c>
      <c r="J232" s="14"/>
    </row>
    <row r="233" customFormat="false" ht="14.5" hidden="true" customHeight="false" outlineLevel="0" collapsed="false">
      <c r="A233" s="14" t="s">
        <v>1693</v>
      </c>
      <c r="B233" s="14" t="n">
        <v>59</v>
      </c>
      <c r="C233" s="14" t="n">
        <v>2</v>
      </c>
      <c r="D233" s="14" t="n">
        <v>3</v>
      </c>
      <c r="E233" s="14" t="s">
        <v>1699</v>
      </c>
      <c r="F233" s="14" t="s">
        <v>1700</v>
      </c>
      <c r="G233" s="14"/>
      <c r="H233" s="14"/>
      <c r="I233" s="14" t="s">
        <v>1701</v>
      </c>
      <c r="J233" s="14"/>
    </row>
    <row r="234" customFormat="false" ht="14.5" hidden="true" customHeight="false" outlineLevel="0" collapsed="false">
      <c r="A234" s="14" t="s">
        <v>1693</v>
      </c>
      <c r="B234" s="14" t="n">
        <v>59</v>
      </c>
      <c r="C234" s="14" t="n">
        <v>2</v>
      </c>
      <c r="D234" s="14" t="n">
        <v>4</v>
      </c>
      <c r="E234" s="14" t="s">
        <v>1702</v>
      </c>
      <c r="F234" s="14" t="s">
        <v>1703</v>
      </c>
      <c r="G234" s="14"/>
      <c r="H234" s="14"/>
      <c r="I234" s="14" t="s">
        <v>1704</v>
      </c>
      <c r="J234" s="14"/>
    </row>
    <row r="235" customFormat="false" ht="14.5" hidden="false" customHeight="false" outlineLevel="0" collapsed="false">
      <c r="A235" s="14" t="s">
        <v>1693</v>
      </c>
      <c r="B235" s="14" t="n">
        <v>59</v>
      </c>
      <c r="C235" s="14" t="n">
        <v>2</v>
      </c>
      <c r="D235" s="14" t="n">
        <v>1</v>
      </c>
      <c r="E235" s="14" t="s">
        <v>1705</v>
      </c>
      <c r="F235" s="14" t="s">
        <v>1341</v>
      </c>
      <c r="G235" s="14"/>
      <c r="H235" s="14"/>
      <c r="I235" s="14" t="s">
        <v>1706</v>
      </c>
      <c r="J235" s="14"/>
    </row>
    <row r="236" customFormat="false" ht="14.5" hidden="false" customHeight="false" outlineLevel="0" collapsed="false">
      <c r="A236" s="14" t="s">
        <v>1693</v>
      </c>
      <c r="B236" s="14" t="n">
        <v>59</v>
      </c>
      <c r="C236" s="14" t="n">
        <v>2</v>
      </c>
      <c r="D236" s="14" t="n">
        <v>2</v>
      </c>
      <c r="E236" s="14" t="s">
        <v>1707</v>
      </c>
      <c r="F236" s="14" t="s">
        <v>1332</v>
      </c>
      <c r="G236" s="14"/>
      <c r="H236" s="14"/>
      <c r="I236" s="14" t="s">
        <v>1708</v>
      </c>
      <c r="J236" s="14"/>
    </row>
    <row r="237" customFormat="false" ht="14.5" hidden="false" customHeight="false" outlineLevel="0" collapsed="false">
      <c r="A237" s="14" t="s">
        <v>1693</v>
      </c>
      <c r="B237" s="14" t="n">
        <v>59</v>
      </c>
      <c r="C237" s="14" t="n">
        <v>2</v>
      </c>
      <c r="D237" s="14" t="n">
        <v>3</v>
      </c>
      <c r="E237" s="14" t="s">
        <v>1709</v>
      </c>
      <c r="F237" s="14" t="s">
        <v>1332</v>
      </c>
      <c r="G237" s="14"/>
      <c r="H237" s="14"/>
      <c r="I237" s="14" t="s">
        <v>1710</v>
      </c>
      <c r="J237" s="14"/>
    </row>
    <row r="238" customFormat="false" ht="14.5" hidden="false" customHeight="false" outlineLevel="0" collapsed="false">
      <c r="A238" s="14" t="s">
        <v>1693</v>
      </c>
      <c r="B238" s="14" t="n">
        <v>59</v>
      </c>
      <c r="C238" s="14" t="n">
        <v>2</v>
      </c>
      <c r="D238" s="14" t="n">
        <v>4</v>
      </c>
      <c r="E238" s="14" t="s">
        <v>1711</v>
      </c>
      <c r="F238" s="14" t="s">
        <v>1338</v>
      </c>
      <c r="G238" s="14"/>
      <c r="H238" s="14"/>
      <c r="I238" s="14" t="s">
        <v>1712</v>
      </c>
      <c r="J238" s="14"/>
    </row>
    <row r="239" customFormat="false" ht="14.5" hidden="false" customHeight="false" outlineLevel="0" collapsed="false">
      <c r="A239" s="14" t="s">
        <v>1693</v>
      </c>
      <c r="B239" s="14" t="n">
        <v>59</v>
      </c>
      <c r="C239" s="14" t="n">
        <v>2</v>
      </c>
      <c r="D239" s="14" t="n">
        <v>5</v>
      </c>
      <c r="E239" s="14" t="s">
        <v>1713</v>
      </c>
      <c r="F239" s="14" t="s">
        <v>1332</v>
      </c>
      <c r="G239" s="14"/>
      <c r="H239" s="14"/>
      <c r="I239" s="14" t="s">
        <v>1714</v>
      </c>
      <c r="J239" s="14"/>
    </row>
    <row r="240" customFormat="false" ht="14.5" hidden="true" customHeight="false" outlineLevel="0" collapsed="false">
      <c r="A240" s="14" t="s">
        <v>1715</v>
      </c>
      <c r="B240" s="14" t="n">
        <v>59</v>
      </c>
      <c r="C240" s="14" t="n">
        <v>3</v>
      </c>
      <c r="D240" s="14" t="n">
        <v>2</v>
      </c>
      <c r="E240" s="14" t="s">
        <v>1716</v>
      </c>
      <c r="F240" s="14" t="s">
        <v>1717</v>
      </c>
      <c r="G240" s="14"/>
      <c r="H240" s="14"/>
      <c r="I240" s="14" t="s">
        <v>1718</v>
      </c>
      <c r="J240" s="14"/>
    </row>
    <row r="241" customFormat="false" ht="14.5" hidden="true" customHeight="false" outlineLevel="0" collapsed="false">
      <c r="A241" s="14" t="s">
        <v>1715</v>
      </c>
      <c r="B241" s="14" t="n">
        <v>59</v>
      </c>
      <c r="C241" s="14" t="n">
        <v>3</v>
      </c>
      <c r="D241" s="14" t="n">
        <v>3</v>
      </c>
      <c r="E241" s="14" t="s">
        <v>1719</v>
      </c>
      <c r="F241" s="14" t="s">
        <v>1720</v>
      </c>
      <c r="G241" s="14"/>
      <c r="H241" s="14"/>
      <c r="I241" s="14" t="s">
        <v>1721</v>
      </c>
      <c r="J241" s="14"/>
    </row>
    <row r="242" customFormat="false" ht="14.5" hidden="false" customHeight="false" outlineLevel="0" collapsed="false">
      <c r="A242" s="14" t="s">
        <v>1715</v>
      </c>
      <c r="B242" s="14" t="n">
        <v>59</v>
      </c>
      <c r="C242" s="14" t="n">
        <v>3</v>
      </c>
      <c r="D242" s="14" t="n">
        <v>1</v>
      </c>
      <c r="E242" s="14" t="s">
        <v>1722</v>
      </c>
      <c r="F242" s="14" t="s">
        <v>1332</v>
      </c>
      <c r="G242" s="14"/>
      <c r="H242" s="14"/>
      <c r="I242" s="14" t="s">
        <v>1723</v>
      </c>
      <c r="J242" s="14"/>
    </row>
    <row r="243" customFormat="false" ht="14.5" hidden="false" customHeight="false" outlineLevel="0" collapsed="false">
      <c r="A243" s="14" t="s">
        <v>1715</v>
      </c>
      <c r="B243" s="14" t="n">
        <v>59</v>
      </c>
      <c r="C243" s="14" t="n">
        <v>3</v>
      </c>
      <c r="D243" s="14" t="n">
        <v>2</v>
      </c>
      <c r="E243" s="14" t="s">
        <v>1724</v>
      </c>
      <c r="F243" s="14" t="s">
        <v>1725</v>
      </c>
      <c r="G243" s="14"/>
      <c r="H243" s="14"/>
      <c r="I243" s="14" t="s">
        <v>1726</v>
      </c>
      <c r="J243" s="14"/>
    </row>
    <row r="244" customFormat="false" ht="14.5" hidden="true" customHeight="false" outlineLevel="0" collapsed="false">
      <c r="A244" s="14" t="s">
        <v>1715</v>
      </c>
      <c r="B244" s="14" t="n">
        <v>59</v>
      </c>
      <c r="C244" s="14" t="n">
        <v>3</v>
      </c>
      <c r="D244" s="14" t="n">
        <v>3</v>
      </c>
      <c r="E244" s="14" t="s">
        <v>1727</v>
      </c>
      <c r="F244" s="14" t="s">
        <v>1728</v>
      </c>
      <c r="G244" s="14"/>
      <c r="H244" s="14"/>
      <c r="I244" s="14" t="s">
        <v>1729</v>
      </c>
      <c r="J244" s="14"/>
    </row>
    <row r="245" customFormat="false" ht="14.5" hidden="false" customHeight="false" outlineLevel="0" collapsed="false">
      <c r="A245" s="14" t="s">
        <v>1730</v>
      </c>
      <c r="B245" s="14" t="n">
        <v>60</v>
      </c>
      <c r="C245" s="14" t="n">
        <v>1</v>
      </c>
      <c r="D245" s="14" t="n">
        <v>1</v>
      </c>
      <c r="E245" s="14" t="s">
        <v>1731</v>
      </c>
      <c r="F245" s="14" t="s">
        <v>1332</v>
      </c>
      <c r="G245" s="14"/>
      <c r="H245" s="14"/>
      <c r="I245" s="14" t="s">
        <v>1732</v>
      </c>
      <c r="J245" s="14"/>
    </row>
    <row r="246" customFormat="false" ht="14.5" hidden="false" customHeight="false" outlineLevel="0" collapsed="false">
      <c r="A246" s="14" t="s">
        <v>1733</v>
      </c>
      <c r="B246" s="14" t="n">
        <v>60</v>
      </c>
      <c r="C246" s="14" t="n">
        <v>2</v>
      </c>
      <c r="D246" s="14" t="n">
        <v>1</v>
      </c>
      <c r="E246" s="14" t="s">
        <v>1734</v>
      </c>
      <c r="F246" s="14" t="s">
        <v>1341</v>
      </c>
      <c r="G246" s="14"/>
      <c r="H246" s="14"/>
      <c r="I246" s="14" t="s">
        <v>1735</v>
      </c>
      <c r="J246" s="14"/>
    </row>
    <row r="247" customFormat="false" ht="14.5" hidden="false" customHeight="false" outlineLevel="0" collapsed="false">
      <c r="A247" s="14" t="s">
        <v>1733</v>
      </c>
      <c r="B247" s="14" t="n">
        <v>60</v>
      </c>
      <c r="C247" s="14" t="n">
        <v>2</v>
      </c>
      <c r="D247" s="14" t="n">
        <v>2</v>
      </c>
      <c r="E247" s="14" t="s">
        <v>1731</v>
      </c>
      <c r="F247" s="14" t="s">
        <v>1341</v>
      </c>
      <c r="G247" s="14"/>
      <c r="H247" s="14"/>
      <c r="I247" s="14" t="s">
        <v>1736</v>
      </c>
      <c r="J247" s="14"/>
    </row>
    <row r="248" customFormat="false" ht="14.5" hidden="false" customHeight="false" outlineLevel="0" collapsed="false">
      <c r="A248" s="14" t="s">
        <v>1733</v>
      </c>
      <c r="B248" s="14" t="n">
        <v>60</v>
      </c>
      <c r="C248" s="14" t="n">
        <v>2</v>
      </c>
      <c r="D248" s="14" t="n">
        <v>3</v>
      </c>
      <c r="E248" s="14" t="s">
        <v>1731</v>
      </c>
      <c r="F248" s="14" t="s">
        <v>1332</v>
      </c>
      <c r="G248" s="14"/>
      <c r="H248" s="14"/>
      <c r="I248" s="14" t="s">
        <v>1737</v>
      </c>
      <c r="J248" s="14"/>
    </row>
    <row r="249" customFormat="false" ht="14.5" hidden="false" customHeight="false" outlineLevel="0" collapsed="false">
      <c r="A249" s="14" t="s">
        <v>1738</v>
      </c>
      <c r="B249" s="14" t="n">
        <v>60</v>
      </c>
      <c r="C249" s="14" t="n">
        <v>3</v>
      </c>
      <c r="D249" s="14" t="n">
        <v>1</v>
      </c>
      <c r="E249" s="14" t="s">
        <v>1739</v>
      </c>
      <c r="F249" s="14" t="s">
        <v>1740</v>
      </c>
      <c r="G249" s="14"/>
      <c r="H249" s="14"/>
      <c r="I249" s="14" t="s">
        <v>1741</v>
      </c>
      <c r="J249" s="14"/>
    </row>
    <row r="250" customFormat="false" ht="14.5" hidden="true" customHeight="false" outlineLevel="0" collapsed="false">
      <c r="A250" s="14" t="s">
        <v>1742</v>
      </c>
      <c r="B250" s="14" t="n">
        <v>61</v>
      </c>
      <c r="C250" s="14" t="n">
        <v>1</v>
      </c>
      <c r="D250" s="14" t="n">
        <v>1</v>
      </c>
      <c r="E250" s="14" t="s">
        <v>1743</v>
      </c>
      <c r="F250" s="14" t="s">
        <v>1493</v>
      </c>
      <c r="G250" s="14"/>
      <c r="H250" s="14"/>
      <c r="I250" s="14" t="s">
        <v>1744</v>
      </c>
      <c r="J250" s="14"/>
    </row>
    <row r="251" customFormat="false" ht="14.5" hidden="true" customHeight="false" outlineLevel="0" collapsed="false">
      <c r="A251" s="14" t="s">
        <v>1742</v>
      </c>
      <c r="B251" s="14" t="n">
        <v>61</v>
      </c>
      <c r="C251" s="14" t="n">
        <v>1</v>
      </c>
      <c r="D251" s="14" t="n">
        <v>2</v>
      </c>
      <c r="E251" s="14" t="s">
        <v>1745</v>
      </c>
      <c r="F251" s="14" t="s">
        <v>1490</v>
      </c>
      <c r="G251" s="14"/>
      <c r="H251" s="14"/>
      <c r="I251" s="14" t="s">
        <v>1746</v>
      </c>
      <c r="J251" s="14"/>
    </row>
    <row r="252" customFormat="false" ht="14.5" hidden="false" customHeight="false" outlineLevel="0" collapsed="false">
      <c r="A252" s="14" t="s">
        <v>1742</v>
      </c>
      <c r="B252" s="14" t="n">
        <v>61</v>
      </c>
      <c r="C252" s="14" t="n">
        <v>1</v>
      </c>
      <c r="D252" s="14" t="n">
        <v>3</v>
      </c>
      <c r="E252" s="14" t="s">
        <v>1747</v>
      </c>
      <c r="F252" s="14" t="s">
        <v>1329</v>
      </c>
      <c r="G252" s="14"/>
      <c r="H252" s="14"/>
      <c r="I252" s="14" t="s">
        <v>1748</v>
      </c>
      <c r="J252" s="14"/>
    </row>
    <row r="253" customFormat="false" ht="14.5" hidden="false" customHeight="false" outlineLevel="0" collapsed="false">
      <c r="A253" s="14" t="s">
        <v>1742</v>
      </c>
      <c r="B253" s="14" t="n">
        <v>61</v>
      </c>
      <c r="C253" s="14" t="n">
        <v>1</v>
      </c>
      <c r="D253" s="14" t="n">
        <v>4</v>
      </c>
      <c r="E253" s="14" t="s">
        <v>1749</v>
      </c>
      <c r="F253" s="14" t="s">
        <v>1750</v>
      </c>
      <c r="G253" s="14"/>
      <c r="H253" s="14"/>
      <c r="I253" s="14" t="s">
        <v>1751</v>
      </c>
      <c r="J253" s="14"/>
    </row>
    <row r="254" customFormat="false" ht="14.5" hidden="true" customHeight="false" outlineLevel="0" collapsed="false">
      <c r="A254" s="14" t="s">
        <v>1752</v>
      </c>
      <c r="B254" s="14" t="n">
        <v>66</v>
      </c>
      <c r="C254" s="14" t="n">
        <v>1</v>
      </c>
      <c r="D254" s="14" t="n">
        <v>1</v>
      </c>
      <c r="E254" s="14" t="s">
        <v>1753</v>
      </c>
      <c r="F254" s="14" t="s">
        <v>1754</v>
      </c>
      <c r="G254" s="14"/>
      <c r="H254" s="14"/>
      <c r="I254" s="14" t="s">
        <v>1755</v>
      </c>
      <c r="J254" s="14"/>
    </row>
    <row r="255" customFormat="false" ht="14.5" hidden="true" customHeight="false" outlineLevel="0" collapsed="false">
      <c r="A255" s="14" t="s">
        <v>1752</v>
      </c>
      <c r="B255" s="14" t="n">
        <v>66</v>
      </c>
      <c r="C255" s="14" t="n">
        <v>1</v>
      </c>
      <c r="D255" s="14" t="n">
        <v>2</v>
      </c>
      <c r="E255" s="14" t="s">
        <v>1056</v>
      </c>
      <c r="F255" s="14" t="s">
        <v>1756</v>
      </c>
      <c r="G255" s="14"/>
      <c r="H255" s="14"/>
      <c r="I255" s="14" t="s">
        <v>1757</v>
      </c>
      <c r="J255" s="14"/>
    </row>
    <row r="256" customFormat="false" ht="14.5" hidden="true" customHeight="false" outlineLevel="0" collapsed="false">
      <c r="A256" s="14" t="s">
        <v>1752</v>
      </c>
      <c r="B256" s="14" t="n">
        <v>66</v>
      </c>
      <c r="C256" s="14" t="n">
        <v>1</v>
      </c>
      <c r="D256" s="14" t="n">
        <v>3</v>
      </c>
      <c r="E256" s="14" t="s">
        <v>1609</v>
      </c>
      <c r="F256" s="14" t="s">
        <v>1758</v>
      </c>
      <c r="G256" s="14"/>
      <c r="H256" s="14"/>
      <c r="I256" s="14" t="s">
        <v>1759</v>
      </c>
      <c r="J256" s="14"/>
    </row>
    <row r="257" customFormat="false" ht="14.5" hidden="false" customHeight="false" outlineLevel="0" collapsed="false">
      <c r="A257" s="14" t="s">
        <v>1752</v>
      </c>
      <c r="B257" s="14" t="n">
        <v>66</v>
      </c>
      <c r="C257" s="14" t="n">
        <v>1</v>
      </c>
      <c r="D257" s="14" t="n">
        <v>4</v>
      </c>
      <c r="E257" s="14" t="s">
        <v>1760</v>
      </c>
      <c r="F257" s="14" t="s">
        <v>1761</v>
      </c>
      <c r="G257" s="14"/>
      <c r="H257" s="14"/>
      <c r="I257" s="14" t="s">
        <v>1762</v>
      </c>
      <c r="J257" s="14"/>
    </row>
    <row r="258" customFormat="false" ht="14.5" hidden="true" customHeight="false" outlineLevel="0" collapsed="false">
      <c r="A258" s="14" t="s">
        <v>1752</v>
      </c>
      <c r="B258" s="14" t="n">
        <v>66</v>
      </c>
      <c r="C258" s="14" t="n">
        <v>1</v>
      </c>
      <c r="D258" s="14" t="n">
        <v>5</v>
      </c>
      <c r="E258" s="14" t="s">
        <v>1609</v>
      </c>
      <c r="F258" s="14" t="s">
        <v>1480</v>
      </c>
      <c r="G258" s="14"/>
      <c r="H258" s="14"/>
      <c r="I258" s="14" t="s">
        <v>1763</v>
      </c>
      <c r="J258" s="14"/>
    </row>
    <row r="259" customFormat="false" ht="14.5" hidden="false" customHeight="false" outlineLevel="0" collapsed="false">
      <c r="A259" s="14" t="s">
        <v>1764</v>
      </c>
      <c r="B259" s="14" t="n">
        <v>66</v>
      </c>
      <c r="C259" s="14" t="n">
        <v>3</v>
      </c>
      <c r="D259" s="14" t="n">
        <v>1</v>
      </c>
      <c r="E259" s="14" t="s">
        <v>1753</v>
      </c>
      <c r="F259" s="14" t="s">
        <v>1765</v>
      </c>
      <c r="G259" s="14"/>
      <c r="H259" s="14"/>
      <c r="I259" s="14" t="s">
        <v>1766</v>
      </c>
      <c r="J259" s="14"/>
    </row>
    <row r="260" customFormat="false" ht="14.5" hidden="false" customHeight="false" outlineLevel="0" collapsed="false">
      <c r="A260" s="14" t="s">
        <v>1764</v>
      </c>
      <c r="B260" s="14" t="n">
        <v>66</v>
      </c>
      <c r="C260" s="14" t="n">
        <v>3</v>
      </c>
      <c r="D260" s="14" t="n">
        <v>2</v>
      </c>
      <c r="E260" s="14" t="s">
        <v>1056</v>
      </c>
      <c r="F260" s="14" t="s">
        <v>1765</v>
      </c>
      <c r="G260" s="14"/>
      <c r="H260" s="14"/>
      <c r="I260" s="14" t="s">
        <v>1767</v>
      </c>
      <c r="J260" s="14"/>
    </row>
    <row r="261" customFormat="false" ht="14.5" hidden="false" customHeight="false" outlineLevel="0" collapsed="false">
      <c r="A261" s="14" t="s">
        <v>1764</v>
      </c>
      <c r="B261" s="14" t="n">
        <v>66</v>
      </c>
      <c r="C261" s="14" t="n">
        <v>3</v>
      </c>
      <c r="D261" s="14" t="n">
        <v>3</v>
      </c>
      <c r="E261" s="14" t="s">
        <v>1768</v>
      </c>
      <c r="F261" s="14" t="s">
        <v>1765</v>
      </c>
      <c r="G261" s="14"/>
      <c r="H261" s="14"/>
      <c r="I261" s="14" t="s">
        <v>1769</v>
      </c>
      <c r="J261" s="14"/>
    </row>
    <row r="262" customFormat="false" ht="14.5" hidden="true" customHeight="false" outlineLevel="0" collapsed="false">
      <c r="A262" s="14" t="s">
        <v>1764</v>
      </c>
      <c r="B262" s="14" t="n">
        <v>66</v>
      </c>
      <c r="C262" s="14" t="n">
        <v>3</v>
      </c>
      <c r="D262" s="14" t="n">
        <v>4</v>
      </c>
      <c r="E262" s="14" t="s">
        <v>1770</v>
      </c>
      <c r="F262" s="14" t="s">
        <v>1771</v>
      </c>
      <c r="G262" s="14"/>
      <c r="H262" s="14"/>
      <c r="I262" s="14" t="s">
        <v>1772</v>
      </c>
      <c r="J262" s="14"/>
    </row>
    <row r="263" customFormat="false" ht="14.5" hidden="false" customHeight="false" outlineLevel="0" collapsed="false">
      <c r="A263" s="14" t="s">
        <v>1764</v>
      </c>
      <c r="B263" s="14" t="n">
        <v>66</v>
      </c>
      <c r="C263" s="14" t="n">
        <v>3</v>
      </c>
      <c r="D263" s="14" t="n">
        <v>5</v>
      </c>
      <c r="E263" s="14" t="s">
        <v>1760</v>
      </c>
      <c r="F263" s="14" t="s">
        <v>1773</v>
      </c>
      <c r="G263" s="14"/>
      <c r="H263" s="14"/>
      <c r="I263" s="14" t="s">
        <v>1774</v>
      </c>
      <c r="J263" s="14"/>
    </row>
    <row r="264" customFormat="false" ht="14.5" hidden="true" customHeight="false" outlineLevel="0" collapsed="false">
      <c r="A264" s="14" t="s">
        <v>1764</v>
      </c>
      <c r="B264" s="14" t="n">
        <v>66</v>
      </c>
      <c r="C264" s="14" t="n">
        <v>3</v>
      </c>
      <c r="D264" s="14" t="n">
        <v>6</v>
      </c>
      <c r="E264" s="14" t="s">
        <v>1775</v>
      </c>
      <c r="F264" s="14" t="s">
        <v>1776</v>
      </c>
      <c r="G264" s="14"/>
      <c r="H264" s="14"/>
      <c r="I264" s="14" t="s">
        <v>1777</v>
      </c>
      <c r="J264" s="14"/>
    </row>
    <row r="265" customFormat="false" ht="14.5" hidden="true" customHeight="false" outlineLevel="0" collapsed="false">
      <c r="A265" s="14" t="s">
        <v>1764</v>
      </c>
      <c r="B265" s="14" t="n">
        <v>66</v>
      </c>
      <c r="C265" s="14" t="n">
        <v>3</v>
      </c>
      <c r="D265" s="14" t="n">
        <v>7</v>
      </c>
      <c r="E265" s="14" t="s">
        <v>1775</v>
      </c>
      <c r="F265" s="14" t="s">
        <v>1778</v>
      </c>
      <c r="G265" s="14"/>
      <c r="H265" s="14"/>
      <c r="I265" s="14" t="s">
        <v>1779</v>
      </c>
      <c r="J265" s="14"/>
    </row>
    <row r="266" customFormat="false" ht="14.5" hidden="true" customHeight="false" outlineLevel="0" collapsed="false">
      <c r="A266" s="14" t="s">
        <v>1049</v>
      </c>
      <c r="B266" s="14" t="n">
        <v>70</v>
      </c>
      <c r="C266" s="14" t="n">
        <v>1</v>
      </c>
      <c r="D266" s="14" t="n">
        <v>1</v>
      </c>
      <c r="E266" s="14" t="s">
        <v>1780</v>
      </c>
      <c r="F266" s="14" t="s">
        <v>1322</v>
      </c>
      <c r="G266" s="14"/>
      <c r="H266" s="14"/>
      <c r="I266" s="14" t="s">
        <v>1781</v>
      </c>
      <c r="J266" s="14"/>
    </row>
    <row r="267" customFormat="false" ht="14.5" hidden="true" customHeight="false" outlineLevel="0" collapsed="false">
      <c r="A267" s="14" t="s">
        <v>1049</v>
      </c>
      <c r="B267" s="14" t="n">
        <v>70</v>
      </c>
      <c r="C267" s="14" t="n">
        <v>1</v>
      </c>
      <c r="D267" s="14" t="n">
        <v>2</v>
      </c>
      <c r="E267" s="14" t="s">
        <v>1782</v>
      </c>
      <c r="F267" s="14" t="s">
        <v>1322</v>
      </c>
      <c r="G267" s="14"/>
      <c r="H267" s="14"/>
      <c r="I267" s="14" t="s">
        <v>1783</v>
      </c>
      <c r="J267" s="14"/>
    </row>
    <row r="268" customFormat="false" ht="14.5" hidden="true" customHeight="false" outlineLevel="0" collapsed="false">
      <c r="A268" s="14" t="s">
        <v>1049</v>
      </c>
      <c r="B268" s="14" t="n">
        <v>70</v>
      </c>
      <c r="C268" s="14" t="n">
        <v>1</v>
      </c>
      <c r="D268" s="14" t="n">
        <v>3</v>
      </c>
      <c r="E268" s="14" t="s">
        <v>1784</v>
      </c>
      <c r="F268" s="14" t="s">
        <v>1207</v>
      </c>
      <c r="G268" s="14"/>
      <c r="H268" s="14"/>
      <c r="I268" s="14" t="s">
        <v>1785</v>
      </c>
      <c r="J268" s="14"/>
    </row>
    <row r="269" customFormat="false" ht="14.5" hidden="false" customHeight="false" outlineLevel="0" collapsed="false">
      <c r="A269" s="14" t="s">
        <v>1049</v>
      </c>
      <c r="B269" s="14" t="n">
        <v>70</v>
      </c>
      <c r="C269" s="14" t="n">
        <v>1</v>
      </c>
      <c r="D269" s="14" t="n">
        <v>4</v>
      </c>
      <c r="E269" s="14" t="s">
        <v>1786</v>
      </c>
      <c r="F269" s="14" t="s">
        <v>1787</v>
      </c>
      <c r="G269" s="14"/>
      <c r="H269" s="14"/>
      <c r="I269" s="14" t="s">
        <v>1788</v>
      </c>
      <c r="J269" s="14"/>
    </row>
    <row r="270" customFormat="false" ht="14.5" hidden="true" customHeight="false" outlineLevel="0" collapsed="false">
      <c r="A270" s="14" t="s">
        <v>1049</v>
      </c>
      <c r="B270" s="14" t="n">
        <v>70</v>
      </c>
      <c r="C270" s="14" t="n">
        <v>1</v>
      </c>
      <c r="D270" s="14" t="n">
        <v>5</v>
      </c>
      <c r="E270" s="14" t="s">
        <v>1789</v>
      </c>
      <c r="F270" s="14" t="s">
        <v>1790</v>
      </c>
      <c r="G270" s="14"/>
      <c r="H270" s="14"/>
      <c r="I270" s="14" t="s">
        <v>1791</v>
      </c>
      <c r="J270" s="14"/>
    </row>
    <row r="271" customFormat="false" ht="14.5" hidden="true" customHeight="false" outlineLevel="0" collapsed="false">
      <c r="A271" s="14" t="s">
        <v>1049</v>
      </c>
      <c r="B271" s="14" t="n">
        <v>70</v>
      </c>
      <c r="C271" s="14" t="n">
        <v>1</v>
      </c>
      <c r="D271" s="14" t="n">
        <v>6</v>
      </c>
      <c r="E271" s="14" t="s">
        <v>1256</v>
      </c>
      <c r="F271" s="14" t="s">
        <v>1193</v>
      </c>
      <c r="G271" s="14"/>
      <c r="H271" s="14"/>
      <c r="I271" s="14" t="s">
        <v>1792</v>
      </c>
      <c r="J271" s="14"/>
    </row>
    <row r="272" customFormat="false" ht="14.5" hidden="true" customHeight="false" outlineLevel="0" collapsed="false">
      <c r="A272" s="14" t="s">
        <v>1049</v>
      </c>
      <c r="B272" s="14" t="n">
        <v>70</v>
      </c>
      <c r="C272" s="14" t="n">
        <v>1</v>
      </c>
      <c r="D272" s="14" t="n">
        <v>7</v>
      </c>
      <c r="E272" s="14" t="s">
        <v>1789</v>
      </c>
      <c r="F272" s="14" t="s">
        <v>1475</v>
      </c>
      <c r="G272" s="14"/>
      <c r="H272" s="14"/>
      <c r="I272" s="14" t="s">
        <v>1793</v>
      </c>
      <c r="J272" s="14"/>
    </row>
    <row r="273" customFormat="false" ht="14.5" hidden="false" customHeight="false" outlineLevel="0" collapsed="false">
      <c r="A273" s="14" t="s">
        <v>1049</v>
      </c>
      <c r="B273" s="14" t="n">
        <v>70</v>
      </c>
      <c r="C273" s="14" t="n">
        <v>1</v>
      </c>
      <c r="D273" s="14" t="n">
        <v>1</v>
      </c>
      <c r="E273" s="14" t="s">
        <v>1794</v>
      </c>
      <c r="F273" s="14" t="s">
        <v>1647</v>
      </c>
      <c r="G273" s="14"/>
      <c r="H273" s="14"/>
      <c r="I273" s="14" t="s">
        <v>1795</v>
      </c>
      <c r="J273" s="14"/>
    </row>
    <row r="274" customFormat="false" ht="14.5" hidden="true" customHeight="false" outlineLevel="0" collapsed="false">
      <c r="A274" s="14" t="s">
        <v>1049</v>
      </c>
      <c r="B274" s="14" t="n">
        <v>70</v>
      </c>
      <c r="C274" s="14" t="n">
        <v>1</v>
      </c>
      <c r="D274" s="14" t="n">
        <v>2</v>
      </c>
      <c r="E274" s="14" t="s">
        <v>1796</v>
      </c>
      <c r="F274" s="14" t="s">
        <v>1797</v>
      </c>
      <c r="G274" s="14"/>
      <c r="H274" s="14"/>
      <c r="I274" s="14" t="s">
        <v>1798</v>
      </c>
      <c r="J274" s="14"/>
    </row>
    <row r="275" customFormat="false" ht="14.5" hidden="false" customHeight="false" outlineLevel="0" collapsed="false">
      <c r="A275" s="14" t="s">
        <v>1049</v>
      </c>
      <c r="B275" s="14" t="n">
        <v>70</v>
      </c>
      <c r="C275" s="14" t="n">
        <v>1</v>
      </c>
      <c r="D275" s="14" t="n">
        <v>3</v>
      </c>
      <c r="E275" s="14" t="s">
        <v>1796</v>
      </c>
      <c r="F275" s="14" t="s">
        <v>1306</v>
      </c>
      <c r="G275" s="14"/>
      <c r="H275" s="14"/>
      <c r="I275" s="14" t="s">
        <v>1799</v>
      </c>
      <c r="J275" s="14"/>
    </row>
    <row r="276" customFormat="false" ht="14.5" hidden="false" customHeight="false" outlineLevel="0" collapsed="false">
      <c r="A276" s="14" t="s">
        <v>1049</v>
      </c>
      <c r="B276" s="14" t="n">
        <v>70</v>
      </c>
      <c r="C276" s="14" t="n">
        <v>1</v>
      </c>
      <c r="D276" s="14" t="n">
        <v>1</v>
      </c>
      <c r="E276" s="14" t="s">
        <v>1526</v>
      </c>
      <c r="F276" s="14" t="s">
        <v>1647</v>
      </c>
      <c r="G276" s="14"/>
      <c r="H276" s="14"/>
      <c r="I276" s="14" t="s">
        <v>1800</v>
      </c>
      <c r="J276" s="14"/>
    </row>
    <row r="277" customFormat="false" ht="14.5" hidden="true" customHeight="false" outlineLevel="0" collapsed="false">
      <c r="A277" s="14" t="s">
        <v>1049</v>
      </c>
      <c r="B277" s="14" t="n">
        <v>70</v>
      </c>
      <c r="C277" s="14" t="n">
        <v>1</v>
      </c>
      <c r="D277" s="14" t="n">
        <v>2</v>
      </c>
      <c r="E277" s="14" t="s">
        <v>1526</v>
      </c>
      <c r="F277" s="14" t="s">
        <v>1758</v>
      </c>
      <c r="G277" s="14"/>
      <c r="H277" s="14"/>
      <c r="I277" s="14" t="s">
        <v>1801</v>
      </c>
      <c r="J277" s="14"/>
    </row>
    <row r="278" customFormat="false" ht="14.5" hidden="true" customHeight="false" outlineLevel="0" collapsed="false">
      <c r="A278" s="14" t="s">
        <v>1049</v>
      </c>
      <c r="B278" s="14" t="n">
        <v>70</v>
      </c>
      <c r="C278" s="14" t="n">
        <v>1</v>
      </c>
      <c r="D278" s="14" t="n">
        <v>3</v>
      </c>
      <c r="E278" s="14" t="s">
        <v>1056</v>
      </c>
      <c r="F278" s="14" t="s">
        <v>1797</v>
      </c>
      <c r="G278" s="14"/>
      <c r="H278" s="14"/>
      <c r="I278" s="14" t="s">
        <v>1802</v>
      </c>
      <c r="J278" s="14"/>
    </row>
    <row r="279" customFormat="false" ht="14.5" hidden="true" customHeight="false" outlineLevel="0" collapsed="false">
      <c r="A279" s="14" t="s">
        <v>1060</v>
      </c>
      <c r="B279" s="14" t="n">
        <v>70</v>
      </c>
      <c r="C279" s="14" t="n">
        <v>2</v>
      </c>
      <c r="D279" s="14" t="n">
        <v>1</v>
      </c>
      <c r="E279" s="14" t="s">
        <v>1803</v>
      </c>
      <c r="F279" s="14" t="s">
        <v>1322</v>
      </c>
      <c r="G279" s="14"/>
      <c r="H279" s="14"/>
      <c r="I279" s="14" t="s">
        <v>1804</v>
      </c>
      <c r="J279" s="14"/>
    </row>
    <row r="280" customFormat="false" ht="14.5" hidden="true" customHeight="false" outlineLevel="0" collapsed="false">
      <c r="A280" s="14" t="s">
        <v>1060</v>
      </c>
      <c r="B280" s="14" t="n">
        <v>70</v>
      </c>
      <c r="C280" s="14" t="n">
        <v>2</v>
      </c>
      <c r="D280" s="14" t="n">
        <v>2</v>
      </c>
      <c r="E280" s="14" t="s">
        <v>1805</v>
      </c>
      <c r="F280" s="14" t="s">
        <v>1406</v>
      </c>
      <c r="G280" s="14"/>
      <c r="H280" s="14"/>
      <c r="I280" s="14" t="s">
        <v>1806</v>
      </c>
      <c r="J280" s="14"/>
    </row>
    <row r="281" customFormat="false" ht="14.5" hidden="false" customHeight="false" outlineLevel="0" collapsed="false">
      <c r="A281" s="14" t="s">
        <v>1060</v>
      </c>
      <c r="B281" s="14" t="n">
        <v>70</v>
      </c>
      <c r="C281" s="14" t="n">
        <v>2</v>
      </c>
      <c r="D281" s="14" t="n">
        <v>3</v>
      </c>
      <c r="E281" s="14" t="s">
        <v>1807</v>
      </c>
      <c r="F281" s="14" t="s">
        <v>1808</v>
      </c>
      <c r="G281" s="14"/>
      <c r="H281" s="14"/>
      <c r="I281" s="14" t="s">
        <v>1809</v>
      </c>
      <c r="J281" s="14"/>
    </row>
    <row r="282" customFormat="false" ht="14.5" hidden="true" customHeight="false" outlineLevel="0" collapsed="false">
      <c r="A282" s="14" t="s">
        <v>1060</v>
      </c>
      <c r="B282" s="14" t="n">
        <v>70</v>
      </c>
      <c r="C282" s="14" t="n">
        <v>2</v>
      </c>
      <c r="D282" s="14" t="n">
        <v>4</v>
      </c>
      <c r="E282" s="14" t="s">
        <v>1810</v>
      </c>
      <c r="F282" s="14" t="s">
        <v>1811</v>
      </c>
      <c r="G282" s="14"/>
      <c r="H282" s="14"/>
      <c r="I282" s="14" t="s">
        <v>1812</v>
      </c>
      <c r="J282" s="14"/>
    </row>
    <row r="283" customFormat="false" ht="14.5" hidden="true" customHeight="false" outlineLevel="0" collapsed="false">
      <c r="A283" s="14" t="s">
        <v>1060</v>
      </c>
      <c r="B283" s="14" t="n">
        <v>70</v>
      </c>
      <c r="C283" s="14" t="n">
        <v>2</v>
      </c>
      <c r="D283" s="14" t="n">
        <v>5</v>
      </c>
      <c r="E283" s="14" t="s">
        <v>1489</v>
      </c>
      <c r="F283" s="14" t="s">
        <v>1813</v>
      </c>
      <c r="G283" s="14"/>
      <c r="H283" s="14"/>
      <c r="I283" s="14" t="s">
        <v>1814</v>
      </c>
      <c r="J283" s="14"/>
    </row>
    <row r="284" customFormat="false" ht="14.5" hidden="true" customHeight="false" outlineLevel="0" collapsed="false">
      <c r="A284" s="14" t="s">
        <v>1060</v>
      </c>
      <c r="B284" s="14" t="n">
        <v>70</v>
      </c>
      <c r="C284" s="14" t="n">
        <v>2</v>
      </c>
      <c r="D284" s="14" t="n">
        <v>1</v>
      </c>
      <c r="E284" s="14" t="s">
        <v>1796</v>
      </c>
      <c r="F284" s="14" t="s">
        <v>1815</v>
      </c>
      <c r="G284" s="14"/>
      <c r="H284" s="14"/>
      <c r="I284" s="14" t="s">
        <v>1816</v>
      </c>
      <c r="J284" s="14"/>
    </row>
    <row r="285" customFormat="false" ht="14.5" hidden="true" customHeight="false" outlineLevel="0" collapsed="false">
      <c r="A285" s="14" t="s">
        <v>1060</v>
      </c>
      <c r="B285" s="14" t="n">
        <v>70</v>
      </c>
      <c r="C285" s="14" t="n">
        <v>2</v>
      </c>
      <c r="D285" s="14" t="n">
        <v>2</v>
      </c>
      <c r="E285" s="14" t="s">
        <v>1817</v>
      </c>
      <c r="F285" s="14" t="s">
        <v>1257</v>
      </c>
      <c r="G285" s="14"/>
      <c r="H285" s="14"/>
      <c r="I285" s="14" t="s">
        <v>1818</v>
      </c>
      <c r="J285" s="14"/>
    </row>
    <row r="286" customFormat="false" ht="14.5" hidden="true" customHeight="false" outlineLevel="0" collapsed="false">
      <c r="A286" s="14" t="s">
        <v>1060</v>
      </c>
      <c r="B286" s="14" t="n">
        <v>70</v>
      </c>
      <c r="C286" s="14" t="n">
        <v>2</v>
      </c>
      <c r="D286" s="14" t="n">
        <v>3</v>
      </c>
      <c r="E286" s="14" t="s">
        <v>1817</v>
      </c>
      <c r="F286" s="14" t="s">
        <v>1513</v>
      </c>
      <c r="G286" s="14"/>
      <c r="H286" s="14"/>
      <c r="I286" s="14" t="s">
        <v>1819</v>
      </c>
      <c r="J286" s="14"/>
    </row>
    <row r="287" customFormat="false" ht="14.5" hidden="true" customHeight="false" outlineLevel="0" collapsed="false">
      <c r="A287" s="14" t="s">
        <v>1060</v>
      </c>
      <c r="B287" s="14" t="n">
        <v>70</v>
      </c>
      <c r="C287" s="14" t="n">
        <v>2</v>
      </c>
      <c r="D287" s="14" t="n">
        <v>1</v>
      </c>
      <c r="E287" s="14" t="s">
        <v>1526</v>
      </c>
      <c r="F287" s="14" t="s">
        <v>1815</v>
      </c>
      <c r="G287" s="14"/>
      <c r="H287" s="14"/>
      <c r="I287" s="14" t="s">
        <v>1820</v>
      </c>
      <c r="J287" s="14"/>
    </row>
    <row r="288" customFormat="false" ht="14.5" hidden="true" customHeight="false" outlineLevel="0" collapsed="false">
      <c r="A288" s="14" t="s">
        <v>1060</v>
      </c>
      <c r="B288" s="14" t="n">
        <v>70</v>
      </c>
      <c r="C288" s="14" t="n">
        <v>2</v>
      </c>
      <c r="D288" s="14" t="n">
        <v>2</v>
      </c>
      <c r="E288" s="14" t="s">
        <v>1526</v>
      </c>
      <c r="F288" s="14" t="s">
        <v>1257</v>
      </c>
      <c r="G288" s="14"/>
      <c r="H288" s="14"/>
      <c r="I288" s="14" t="s">
        <v>1821</v>
      </c>
      <c r="J288" s="14"/>
    </row>
    <row r="289" customFormat="false" ht="14.5" hidden="true" customHeight="false" outlineLevel="0" collapsed="false">
      <c r="A289" s="14" t="s">
        <v>1060</v>
      </c>
      <c r="B289" s="14" t="n">
        <v>70</v>
      </c>
      <c r="C289" s="14" t="n">
        <v>2</v>
      </c>
      <c r="D289" s="14" t="n">
        <v>3</v>
      </c>
      <c r="E289" s="14" t="s">
        <v>1822</v>
      </c>
      <c r="F289" s="14" t="s">
        <v>1513</v>
      </c>
      <c r="G289" s="14"/>
      <c r="H289" s="14"/>
      <c r="I289" s="14" t="s">
        <v>1823</v>
      </c>
      <c r="J289" s="14"/>
    </row>
    <row r="290" customFormat="false" ht="14.5" hidden="false" customHeight="false" outlineLevel="0" collapsed="false">
      <c r="A290" s="14" t="s">
        <v>1060</v>
      </c>
      <c r="B290" s="14" t="n">
        <v>70</v>
      </c>
      <c r="C290" s="14" t="n">
        <v>2</v>
      </c>
      <c r="D290" s="14" t="n">
        <v>4</v>
      </c>
      <c r="E290" s="14" t="s">
        <v>1056</v>
      </c>
      <c r="F290" s="14" t="s">
        <v>1824</v>
      </c>
      <c r="G290" s="14"/>
      <c r="H290" s="14"/>
      <c r="I290" s="14" t="s">
        <v>1825</v>
      </c>
      <c r="J290" s="14"/>
    </row>
    <row r="291" customFormat="false" ht="14.5" hidden="false" customHeight="false" outlineLevel="0" collapsed="false">
      <c r="A291" s="14" t="s">
        <v>1068</v>
      </c>
      <c r="B291" s="14" t="n">
        <v>70</v>
      </c>
      <c r="C291" s="14" t="n">
        <v>3</v>
      </c>
      <c r="D291" s="14" t="n">
        <v>1</v>
      </c>
      <c r="E291" s="14" t="s">
        <v>1826</v>
      </c>
      <c r="F291" s="14" t="s">
        <v>1827</v>
      </c>
      <c r="G291" s="14"/>
      <c r="H291" s="14"/>
      <c r="I291" s="14" t="s">
        <v>1828</v>
      </c>
      <c r="J291" s="14"/>
    </row>
    <row r="292" customFormat="false" ht="14.5" hidden="false" customHeight="false" outlineLevel="0" collapsed="false">
      <c r="A292" s="14" t="s">
        <v>1068</v>
      </c>
      <c r="B292" s="14" t="n">
        <v>70</v>
      </c>
      <c r="C292" s="14" t="n">
        <v>3</v>
      </c>
      <c r="D292" s="14" t="n">
        <v>2</v>
      </c>
      <c r="E292" s="14" t="s">
        <v>1829</v>
      </c>
      <c r="F292" s="14" t="s">
        <v>1332</v>
      </c>
      <c r="G292" s="14"/>
      <c r="H292" s="14"/>
      <c r="I292" s="14" t="s">
        <v>1830</v>
      </c>
      <c r="J292" s="14"/>
    </row>
    <row r="293" customFormat="false" ht="14.5" hidden="true" customHeight="false" outlineLevel="0" collapsed="false">
      <c r="A293" s="14" t="s">
        <v>1831</v>
      </c>
      <c r="B293" s="14" t="n">
        <v>71</v>
      </c>
      <c r="C293" s="14" t="n">
        <v>1</v>
      </c>
      <c r="D293" s="14" t="n">
        <v>1</v>
      </c>
      <c r="E293" s="14" t="s">
        <v>2</v>
      </c>
      <c r="F293" s="14" t="s">
        <v>1490</v>
      </c>
      <c r="G293" s="14"/>
      <c r="H293" s="14"/>
      <c r="I293" s="14" t="s">
        <v>1832</v>
      </c>
      <c r="J293" s="14"/>
    </row>
    <row r="294" customFormat="false" ht="14.5" hidden="true" customHeight="false" outlineLevel="0" collapsed="false">
      <c r="A294" s="14" t="s">
        <v>1831</v>
      </c>
      <c r="B294" s="14" t="n">
        <v>71</v>
      </c>
      <c r="C294" s="14" t="n">
        <v>1</v>
      </c>
      <c r="D294" s="14" t="n">
        <v>2</v>
      </c>
      <c r="E294" s="14" t="s">
        <v>1107</v>
      </c>
      <c r="F294" s="14" t="s">
        <v>1703</v>
      </c>
      <c r="G294" s="14"/>
      <c r="H294" s="14"/>
      <c r="I294" s="14" t="s">
        <v>1833</v>
      </c>
      <c r="J294" s="14"/>
    </row>
    <row r="295" customFormat="false" ht="14.5" hidden="true" customHeight="false" outlineLevel="0" collapsed="false">
      <c r="A295" s="14" t="s">
        <v>1831</v>
      </c>
      <c r="B295" s="14" t="n">
        <v>71</v>
      </c>
      <c r="C295" s="14" t="n">
        <v>1</v>
      </c>
      <c r="D295" s="14" t="n">
        <v>3</v>
      </c>
      <c r="E295" s="14" t="s">
        <v>1834</v>
      </c>
      <c r="F295" s="14" t="s">
        <v>1835</v>
      </c>
      <c r="G295" s="14"/>
      <c r="H295" s="14"/>
      <c r="I295" s="14" t="s">
        <v>1836</v>
      </c>
      <c r="J295" s="14"/>
    </row>
    <row r="296" customFormat="false" ht="14.5" hidden="true" customHeight="false" outlineLevel="0" collapsed="false">
      <c r="A296" s="14" t="s">
        <v>1831</v>
      </c>
      <c r="B296" s="14" t="n">
        <v>71</v>
      </c>
      <c r="C296" s="14" t="n">
        <v>1</v>
      </c>
      <c r="D296" s="14" t="n">
        <v>4</v>
      </c>
      <c r="E296" s="14" t="s">
        <v>1837</v>
      </c>
      <c r="F296" s="14" t="s">
        <v>1493</v>
      </c>
      <c r="G296" s="14"/>
      <c r="H296" s="14"/>
      <c r="I296" s="14" t="s">
        <v>1838</v>
      </c>
      <c r="J296" s="14"/>
    </row>
    <row r="297" customFormat="false" ht="14.5" hidden="false" customHeight="false" outlineLevel="0" collapsed="false">
      <c r="A297" s="14" t="s">
        <v>1831</v>
      </c>
      <c r="B297" s="14" t="n">
        <v>71</v>
      </c>
      <c r="C297" s="14" t="n">
        <v>1</v>
      </c>
      <c r="D297" s="14" t="n">
        <v>5</v>
      </c>
      <c r="E297" s="14" t="s">
        <v>2</v>
      </c>
      <c r="F297" s="14" t="s">
        <v>1839</v>
      </c>
      <c r="G297" s="14"/>
      <c r="H297" s="14"/>
      <c r="I297" s="14" t="s">
        <v>7</v>
      </c>
      <c r="J297" s="14"/>
    </row>
    <row r="298" customFormat="false" ht="14.5" hidden="true" customHeight="false" outlineLevel="0" collapsed="false">
      <c r="A298" s="14" t="s">
        <v>1840</v>
      </c>
      <c r="B298" s="14" t="n">
        <v>77</v>
      </c>
      <c r="C298" s="14" t="n">
        <v>2</v>
      </c>
      <c r="D298" s="14" t="n">
        <v>1</v>
      </c>
      <c r="E298" s="14" t="s">
        <v>1841</v>
      </c>
      <c r="F298" s="14" t="s">
        <v>1254</v>
      </c>
      <c r="G298" s="14"/>
      <c r="H298" s="14"/>
      <c r="I298" s="14" t="s">
        <v>1842</v>
      </c>
      <c r="J298" s="14"/>
    </row>
    <row r="299" customFormat="false" ht="14.5" hidden="true" customHeight="false" outlineLevel="0" collapsed="false">
      <c r="A299" s="14" t="s">
        <v>1840</v>
      </c>
      <c r="B299" s="14" t="n">
        <v>77</v>
      </c>
      <c r="C299" s="14" t="n">
        <v>2</v>
      </c>
      <c r="D299" s="14" t="n">
        <v>2</v>
      </c>
      <c r="E299" s="14" t="s">
        <v>1843</v>
      </c>
      <c r="F299" s="14" t="s">
        <v>1638</v>
      </c>
      <c r="G299" s="14"/>
      <c r="H299" s="14"/>
      <c r="I299" s="14" t="s">
        <v>1844</v>
      </c>
      <c r="J299" s="14"/>
    </row>
    <row r="300" customFormat="false" ht="14.5" hidden="false" customHeight="false" outlineLevel="0" collapsed="false">
      <c r="A300" s="14" t="s">
        <v>1840</v>
      </c>
      <c r="B300" s="14" t="n">
        <v>77</v>
      </c>
      <c r="C300" s="14" t="n">
        <v>2</v>
      </c>
      <c r="D300" s="14" t="n">
        <v>3</v>
      </c>
      <c r="E300" s="14" t="s">
        <v>1845</v>
      </c>
      <c r="F300" s="14" t="s">
        <v>1846</v>
      </c>
      <c r="G300" s="14"/>
      <c r="H300" s="14"/>
      <c r="I300" s="14" t="s">
        <v>1847</v>
      </c>
      <c r="J300" s="14"/>
    </row>
    <row r="301" customFormat="false" ht="14.5" hidden="false" customHeight="false" outlineLevel="0" collapsed="false">
      <c r="A301" s="14" t="s">
        <v>1848</v>
      </c>
      <c r="B301" s="14" t="n">
        <v>77</v>
      </c>
      <c r="C301" s="14" t="n">
        <v>3</v>
      </c>
      <c r="D301" s="14" t="n">
        <v>1</v>
      </c>
      <c r="E301" s="14" t="s">
        <v>1849</v>
      </c>
      <c r="F301" s="14" t="s">
        <v>1548</v>
      </c>
      <c r="G301" s="14"/>
      <c r="H301" s="14"/>
      <c r="I301" s="14" t="s">
        <v>1850</v>
      </c>
      <c r="J301" s="14"/>
    </row>
    <row r="302" customFormat="false" ht="14.5" hidden="true" customHeight="false" outlineLevel="0" collapsed="false">
      <c r="A302" s="14" t="s">
        <v>1848</v>
      </c>
      <c r="B302" s="14" t="n">
        <v>77</v>
      </c>
      <c r="C302" s="14" t="n">
        <v>3</v>
      </c>
      <c r="D302" s="14" t="n">
        <v>2</v>
      </c>
      <c r="E302" s="14" t="s">
        <v>1851</v>
      </c>
      <c r="F302" s="14" t="s">
        <v>1852</v>
      </c>
      <c r="G302" s="14"/>
      <c r="H302" s="14"/>
      <c r="I302" s="14" t="s">
        <v>1853</v>
      </c>
      <c r="J302" s="14"/>
    </row>
    <row r="303" customFormat="false" ht="14.5" hidden="true" customHeight="false" outlineLevel="0" collapsed="false">
      <c r="A303" s="14" t="s">
        <v>1848</v>
      </c>
      <c r="B303" s="14" t="n">
        <v>77</v>
      </c>
      <c r="C303" s="14" t="n">
        <v>3</v>
      </c>
      <c r="D303" s="14" t="n">
        <v>3</v>
      </c>
      <c r="E303" s="14" t="s">
        <v>1854</v>
      </c>
      <c r="F303" s="14" t="s">
        <v>1855</v>
      </c>
      <c r="G303" s="14"/>
      <c r="H303" s="14"/>
      <c r="I303" s="14" t="s">
        <v>1856</v>
      </c>
      <c r="J303" s="14"/>
    </row>
    <row r="304" customFormat="false" ht="14.5" hidden="true" customHeight="false" outlineLevel="0" collapsed="false">
      <c r="A304" s="14" t="s">
        <v>1848</v>
      </c>
      <c r="B304" s="14" t="n">
        <v>77</v>
      </c>
      <c r="C304" s="14" t="n">
        <v>3</v>
      </c>
      <c r="D304" s="14" t="n">
        <v>4</v>
      </c>
      <c r="E304" s="14" t="s">
        <v>1845</v>
      </c>
      <c r="F304" s="14" t="s">
        <v>1857</v>
      </c>
      <c r="G304" s="14"/>
      <c r="H304" s="14"/>
      <c r="I304" s="14" t="s">
        <v>1858</v>
      </c>
      <c r="J304" s="14"/>
    </row>
    <row r="305" customFormat="false" ht="14.5" hidden="false" customHeight="false" outlineLevel="0" collapsed="false">
      <c r="A305" s="14" t="s">
        <v>1076</v>
      </c>
      <c r="B305" s="14" t="n">
        <v>78</v>
      </c>
      <c r="C305" s="14" t="n">
        <v>1</v>
      </c>
      <c r="D305" s="14" t="n">
        <v>1</v>
      </c>
      <c r="E305" s="14" t="s">
        <v>1859</v>
      </c>
      <c r="F305" s="14" t="s">
        <v>1860</v>
      </c>
      <c r="G305" s="14"/>
      <c r="H305" s="14"/>
      <c r="I305" s="14" t="s">
        <v>1861</v>
      </c>
      <c r="J305" s="14"/>
    </row>
    <row r="306" customFormat="false" ht="14.5" hidden="true" customHeight="false" outlineLevel="0" collapsed="false">
      <c r="A306" s="14" t="s">
        <v>1076</v>
      </c>
      <c r="B306" s="14" t="n">
        <v>78</v>
      </c>
      <c r="C306" s="14" t="n">
        <v>1</v>
      </c>
      <c r="D306" s="14" t="n">
        <v>2</v>
      </c>
      <c r="E306" s="14" t="s">
        <v>1862</v>
      </c>
      <c r="F306" s="14" t="s">
        <v>1863</v>
      </c>
      <c r="G306" s="14"/>
      <c r="H306" s="14"/>
      <c r="I306" s="14" t="s">
        <v>1864</v>
      </c>
      <c r="J306" s="14"/>
    </row>
    <row r="307" customFormat="false" ht="14.5" hidden="true" customHeight="false" outlineLevel="0" collapsed="false">
      <c r="A307" s="14" t="s">
        <v>1076</v>
      </c>
      <c r="B307" s="14" t="n">
        <v>78</v>
      </c>
      <c r="C307" s="14" t="n">
        <v>1</v>
      </c>
      <c r="D307" s="14" t="n">
        <v>3</v>
      </c>
      <c r="E307" s="14" t="s">
        <v>1837</v>
      </c>
      <c r="F307" s="14" t="s">
        <v>1865</v>
      </c>
      <c r="G307" s="14"/>
      <c r="H307" s="14"/>
      <c r="I307" s="14" t="s">
        <v>1866</v>
      </c>
      <c r="J307" s="14"/>
    </row>
    <row r="308" customFormat="false" ht="14.5" hidden="true" customHeight="false" outlineLevel="0" collapsed="false">
      <c r="A308" s="14" t="s">
        <v>1087</v>
      </c>
      <c r="B308" s="14" t="n">
        <v>78</v>
      </c>
      <c r="C308" s="14" t="n">
        <v>3</v>
      </c>
      <c r="D308" s="14" t="n">
        <v>1</v>
      </c>
      <c r="E308" s="14" t="s">
        <v>1867</v>
      </c>
      <c r="F308" s="14" t="s">
        <v>1868</v>
      </c>
      <c r="G308" s="14"/>
      <c r="H308" s="14"/>
      <c r="I308" s="14" t="s">
        <v>1869</v>
      </c>
      <c r="J308" s="14"/>
    </row>
    <row r="309" customFormat="false" ht="14.5" hidden="true" customHeight="false" outlineLevel="0" collapsed="false">
      <c r="A309" s="14" t="s">
        <v>1087</v>
      </c>
      <c r="B309" s="14" t="n">
        <v>78</v>
      </c>
      <c r="C309" s="14" t="n">
        <v>3</v>
      </c>
      <c r="D309" s="14" t="n">
        <v>2</v>
      </c>
      <c r="E309" s="14" t="s">
        <v>1862</v>
      </c>
      <c r="F309" s="14" t="s">
        <v>1870</v>
      </c>
      <c r="G309" s="14"/>
      <c r="H309" s="14"/>
      <c r="I309" s="14" t="s">
        <v>1871</v>
      </c>
      <c r="J309" s="14"/>
    </row>
    <row r="310" customFormat="false" ht="14.5" hidden="true" customHeight="false" outlineLevel="0" collapsed="false">
      <c r="A310" s="14" t="s">
        <v>1872</v>
      </c>
      <c r="B310" s="14" t="n">
        <v>79</v>
      </c>
      <c r="C310" s="14" t="n">
        <v>1</v>
      </c>
      <c r="D310" s="14" t="n">
        <v>1</v>
      </c>
      <c r="E310" s="14" t="s">
        <v>1873</v>
      </c>
      <c r="F310" s="14" t="s">
        <v>1188</v>
      </c>
      <c r="G310" s="14"/>
      <c r="H310" s="14"/>
      <c r="I310" s="14" t="s">
        <v>1874</v>
      </c>
      <c r="J310" s="14"/>
    </row>
    <row r="311" customFormat="false" ht="14.5" hidden="true" customHeight="false" outlineLevel="0" collapsed="false">
      <c r="A311" s="14" t="s">
        <v>1872</v>
      </c>
      <c r="B311" s="14" t="n">
        <v>79</v>
      </c>
      <c r="C311" s="14" t="n">
        <v>1</v>
      </c>
      <c r="D311" s="14" t="n">
        <v>2</v>
      </c>
      <c r="E311" s="14" t="s">
        <v>1875</v>
      </c>
      <c r="F311" s="14" t="s">
        <v>1188</v>
      </c>
      <c r="G311" s="14"/>
      <c r="H311" s="14"/>
      <c r="I311" s="14" t="s">
        <v>1876</v>
      </c>
      <c r="J311" s="14"/>
    </row>
    <row r="312" customFormat="false" ht="14.5" hidden="true" customHeight="false" outlineLevel="0" collapsed="false">
      <c r="A312" s="14" t="s">
        <v>1872</v>
      </c>
      <c r="B312" s="14" t="n">
        <v>79</v>
      </c>
      <c r="C312" s="14" t="n">
        <v>1</v>
      </c>
      <c r="D312" s="14" t="n">
        <v>3</v>
      </c>
      <c r="E312" s="14" t="s">
        <v>1877</v>
      </c>
      <c r="F312" s="14" t="s">
        <v>1878</v>
      </c>
      <c r="G312" s="14"/>
      <c r="H312" s="14"/>
      <c r="I312" s="14" t="s">
        <v>1879</v>
      </c>
      <c r="J312" s="14"/>
    </row>
    <row r="313" customFormat="false" ht="14.5" hidden="true" customHeight="false" outlineLevel="0" collapsed="false">
      <c r="A313" s="14" t="s">
        <v>1872</v>
      </c>
      <c r="B313" s="14" t="n">
        <v>79</v>
      </c>
      <c r="C313" s="14" t="n">
        <v>1</v>
      </c>
      <c r="D313" s="14" t="n">
        <v>4</v>
      </c>
      <c r="E313" s="14" t="s">
        <v>1880</v>
      </c>
      <c r="F313" s="14" t="s">
        <v>1878</v>
      </c>
      <c r="G313" s="14"/>
      <c r="H313" s="14"/>
      <c r="I313" s="14" t="s">
        <v>1881</v>
      </c>
      <c r="J313" s="14"/>
    </row>
    <row r="314" customFormat="false" ht="14.5" hidden="true" customHeight="false" outlineLevel="0" collapsed="false">
      <c r="A314" s="14" t="s">
        <v>1882</v>
      </c>
      <c r="B314" s="14" t="n">
        <v>79</v>
      </c>
      <c r="C314" s="14" t="n">
        <v>2</v>
      </c>
      <c r="D314" s="14" t="n">
        <v>1</v>
      </c>
      <c r="E314" s="14" t="s">
        <v>1875</v>
      </c>
      <c r="F314" s="14" t="s">
        <v>1883</v>
      </c>
      <c r="G314" s="14"/>
      <c r="H314" s="14"/>
      <c r="I314" s="14" t="s">
        <v>1884</v>
      </c>
      <c r="J314" s="14"/>
    </row>
    <row r="315" customFormat="false" ht="14.5" hidden="true" customHeight="false" outlineLevel="0" collapsed="false">
      <c r="A315" s="14" t="s">
        <v>1882</v>
      </c>
      <c r="B315" s="14" t="n">
        <v>79</v>
      </c>
      <c r="C315" s="14" t="n">
        <v>2</v>
      </c>
      <c r="D315" s="14" t="n">
        <v>2</v>
      </c>
      <c r="E315" s="14" t="s">
        <v>1885</v>
      </c>
      <c r="F315" s="14" t="s">
        <v>1886</v>
      </c>
      <c r="G315" s="14"/>
      <c r="H315" s="14"/>
      <c r="I315" s="14" t="s">
        <v>1887</v>
      </c>
      <c r="J315" s="14"/>
    </row>
    <row r="316" customFormat="false" ht="14.5" hidden="true" customHeight="false" outlineLevel="0" collapsed="false">
      <c r="A316" s="14" t="s">
        <v>1882</v>
      </c>
      <c r="B316" s="14" t="n">
        <v>79</v>
      </c>
      <c r="C316" s="14" t="n">
        <v>2</v>
      </c>
      <c r="D316" s="14" t="n">
        <v>3</v>
      </c>
      <c r="E316" s="14" t="s">
        <v>1592</v>
      </c>
      <c r="F316" s="14" t="s">
        <v>1174</v>
      </c>
      <c r="G316" s="14"/>
      <c r="H316" s="14"/>
      <c r="I316" s="14" t="s">
        <v>1888</v>
      </c>
      <c r="J316" s="14"/>
    </row>
    <row r="317" customFormat="false" ht="14.5" hidden="true" customHeight="false" outlineLevel="0" collapsed="false">
      <c r="A317" s="14" t="s">
        <v>1882</v>
      </c>
      <c r="B317" s="14" t="n">
        <v>79</v>
      </c>
      <c r="C317" s="14" t="n">
        <v>2</v>
      </c>
      <c r="D317" s="14" t="n">
        <v>4</v>
      </c>
      <c r="E317" s="14" t="s">
        <v>1873</v>
      </c>
      <c r="F317" s="14" t="s">
        <v>1889</v>
      </c>
      <c r="G317" s="14"/>
      <c r="H317" s="14"/>
      <c r="I317" s="14" t="s">
        <v>1890</v>
      </c>
      <c r="J317" s="14"/>
    </row>
    <row r="318" customFormat="false" ht="14.5" hidden="false" customHeight="false" outlineLevel="0" collapsed="false">
      <c r="A318" s="14" t="s">
        <v>1882</v>
      </c>
      <c r="B318" s="14" t="n">
        <v>79</v>
      </c>
      <c r="C318" s="14" t="n">
        <v>2</v>
      </c>
      <c r="D318" s="14" t="n">
        <v>5</v>
      </c>
      <c r="E318" s="14" t="s">
        <v>1877</v>
      </c>
      <c r="F318" s="14" t="s">
        <v>1891</v>
      </c>
      <c r="G318" s="14"/>
      <c r="H318" s="14"/>
      <c r="I318" s="14" t="s">
        <v>1892</v>
      </c>
      <c r="J318" s="14"/>
    </row>
    <row r="319" customFormat="false" ht="14.5" hidden="false" customHeight="false" outlineLevel="0" collapsed="false">
      <c r="A319" s="14" t="s">
        <v>1882</v>
      </c>
      <c r="B319" s="14" t="n">
        <v>79</v>
      </c>
      <c r="C319" s="14" t="n">
        <v>2</v>
      </c>
      <c r="D319" s="14" t="n">
        <v>6</v>
      </c>
      <c r="E319" s="14" t="s">
        <v>1893</v>
      </c>
      <c r="F319" s="14" t="s">
        <v>1548</v>
      </c>
      <c r="G319" s="14"/>
      <c r="H319" s="14"/>
      <c r="I319" s="14" t="s">
        <v>1894</v>
      </c>
      <c r="J319" s="14"/>
    </row>
    <row r="320" customFormat="false" ht="14.5" hidden="false" customHeight="false" outlineLevel="0" collapsed="false">
      <c r="A320" s="14" t="s">
        <v>1895</v>
      </c>
      <c r="B320" s="14" t="n">
        <v>79</v>
      </c>
      <c r="C320" s="14" t="n">
        <v>3</v>
      </c>
      <c r="D320" s="14" t="n">
        <v>1</v>
      </c>
      <c r="E320" s="14" t="s">
        <v>1896</v>
      </c>
      <c r="F320" s="14" t="s">
        <v>1205</v>
      </c>
      <c r="G320" s="14"/>
      <c r="H320" s="14"/>
      <c r="I320" s="14" t="s">
        <v>1897</v>
      </c>
      <c r="J320" s="14"/>
    </row>
    <row r="321" customFormat="false" ht="14.5" hidden="true" customHeight="false" outlineLevel="0" collapsed="false">
      <c r="A321" s="14" t="s">
        <v>1895</v>
      </c>
      <c r="B321" s="14" t="n">
        <v>79</v>
      </c>
      <c r="C321" s="14" t="n">
        <v>3</v>
      </c>
      <c r="D321" s="14" t="n">
        <v>2</v>
      </c>
      <c r="E321" s="14" t="s">
        <v>1898</v>
      </c>
      <c r="F321" s="14" t="s">
        <v>1899</v>
      </c>
      <c r="G321" s="14"/>
      <c r="H321" s="14"/>
      <c r="I321" s="14" t="s">
        <v>1900</v>
      </c>
      <c r="J321" s="14"/>
    </row>
    <row r="322" customFormat="false" ht="14.5" hidden="true" customHeight="false" outlineLevel="0" collapsed="false">
      <c r="A322" s="14" t="s">
        <v>1895</v>
      </c>
      <c r="B322" s="14" t="n">
        <v>79</v>
      </c>
      <c r="C322" s="14" t="n">
        <v>3</v>
      </c>
      <c r="D322" s="14" t="n">
        <v>3</v>
      </c>
      <c r="E322" s="14" t="s">
        <v>1898</v>
      </c>
      <c r="F322" s="14" t="s">
        <v>1901</v>
      </c>
      <c r="G322" s="14"/>
      <c r="H322" s="14"/>
      <c r="I322" s="14" t="s">
        <v>1902</v>
      </c>
      <c r="J322" s="14"/>
    </row>
    <row r="323" customFormat="false" ht="14.5" hidden="false" customHeight="false" outlineLevel="0" collapsed="false">
      <c r="A323" s="14" t="s">
        <v>1895</v>
      </c>
      <c r="B323" s="14" t="n">
        <v>79</v>
      </c>
      <c r="C323" s="14" t="n">
        <v>3</v>
      </c>
      <c r="D323" s="14" t="n">
        <v>4</v>
      </c>
      <c r="E323" s="14" t="s">
        <v>1903</v>
      </c>
      <c r="F323" s="14" t="s">
        <v>1904</v>
      </c>
      <c r="G323" s="14"/>
      <c r="H323" s="14"/>
      <c r="I323" s="14" t="s">
        <v>1905</v>
      </c>
      <c r="J323" s="14"/>
    </row>
    <row r="324" customFormat="false" ht="14.5" hidden="false" customHeight="false" outlineLevel="0" collapsed="false">
      <c r="A324" s="14" t="s">
        <v>1895</v>
      </c>
      <c r="B324" s="14" t="n">
        <v>79</v>
      </c>
      <c r="C324" s="14" t="n">
        <v>3</v>
      </c>
      <c r="D324" s="14" t="n">
        <v>6</v>
      </c>
      <c r="E324" s="14" t="s">
        <v>1906</v>
      </c>
      <c r="F324" s="14" t="s">
        <v>1205</v>
      </c>
      <c r="G324" s="14"/>
      <c r="H324" s="14"/>
      <c r="I324" s="14" t="s">
        <v>1907</v>
      </c>
      <c r="J324" s="14"/>
    </row>
    <row r="325" customFormat="false" ht="14.5" hidden="false" customHeight="false" outlineLevel="0" collapsed="false">
      <c r="A325" s="14" t="s">
        <v>1091</v>
      </c>
      <c r="B325" s="14" t="n">
        <v>83</v>
      </c>
      <c r="C325" s="14" t="n">
        <v>1</v>
      </c>
      <c r="D325" s="14" t="n">
        <v>1</v>
      </c>
      <c r="E325" s="14" t="s">
        <v>1105</v>
      </c>
      <c r="F325" s="14" t="s">
        <v>1908</v>
      </c>
      <c r="G325" s="14"/>
      <c r="H325" s="14"/>
      <c r="I325" s="14" t="s">
        <v>1909</v>
      </c>
      <c r="J325" s="14"/>
    </row>
    <row r="326" customFormat="false" ht="14.5" hidden="false" customHeight="false" outlineLevel="0" collapsed="false">
      <c r="A326" s="14" t="s">
        <v>1098</v>
      </c>
      <c r="B326" s="14" t="n">
        <v>83</v>
      </c>
      <c r="C326" s="14" t="n">
        <v>2</v>
      </c>
      <c r="D326" s="14" t="n">
        <v>1</v>
      </c>
      <c r="E326" s="14" t="s">
        <v>1910</v>
      </c>
      <c r="F326" s="14" t="s">
        <v>1911</v>
      </c>
      <c r="G326" s="14"/>
      <c r="H326" s="14"/>
      <c r="I326" s="14" t="s">
        <v>1912</v>
      </c>
      <c r="J326" s="14"/>
    </row>
    <row r="327" customFormat="false" ht="14.5" hidden="true" customHeight="false" outlineLevel="0" collapsed="false">
      <c r="A327" s="14" t="s">
        <v>1913</v>
      </c>
      <c r="B327" s="14" t="n">
        <v>92</v>
      </c>
      <c r="C327" s="14" t="n">
        <v>1</v>
      </c>
      <c r="D327" s="14" t="n">
        <v>1</v>
      </c>
      <c r="E327" s="14" t="s">
        <v>1914</v>
      </c>
      <c r="F327" s="14" t="s">
        <v>1322</v>
      </c>
      <c r="G327" s="14"/>
      <c r="H327" s="14"/>
      <c r="I327" s="14" t="s">
        <v>1915</v>
      </c>
      <c r="J327" s="14"/>
    </row>
    <row r="328" customFormat="false" ht="14.5" hidden="true" customHeight="false" outlineLevel="0" collapsed="false">
      <c r="A328" s="14" t="s">
        <v>1913</v>
      </c>
      <c r="B328" s="14" t="n">
        <v>92</v>
      </c>
      <c r="C328" s="14" t="n">
        <v>1</v>
      </c>
      <c r="D328" s="14" t="n">
        <v>2</v>
      </c>
      <c r="E328" s="14" t="s">
        <v>1916</v>
      </c>
      <c r="F328" s="14" t="s">
        <v>1393</v>
      </c>
      <c r="G328" s="14"/>
      <c r="H328" s="14"/>
      <c r="I328" s="14" t="s">
        <v>1917</v>
      </c>
      <c r="J328" s="14"/>
    </row>
    <row r="329" customFormat="false" ht="14.5" hidden="true" customHeight="false" outlineLevel="0" collapsed="false">
      <c r="A329" s="14" t="s">
        <v>1913</v>
      </c>
      <c r="B329" s="14" t="n">
        <v>92</v>
      </c>
      <c r="C329" s="14" t="n">
        <v>1</v>
      </c>
      <c r="D329" s="14" t="n">
        <v>3</v>
      </c>
      <c r="E329" s="14" t="s">
        <v>1918</v>
      </c>
      <c r="F329" s="14" t="s">
        <v>1919</v>
      </c>
      <c r="G329" s="14"/>
      <c r="H329" s="14"/>
      <c r="I329" s="14" t="s">
        <v>1920</v>
      </c>
      <c r="J329" s="14"/>
    </row>
    <row r="330" customFormat="false" ht="14.5" hidden="false" customHeight="false" outlineLevel="0" collapsed="false">
      <c r="A330" s="14" t="s">
        <v>1913</v>
      </c>
      <c r="B330" s="14" t="n">
        <v>92</v>
      </c>
      <c r="C330" s="14" t="n">
        <v>1</v>
      </c>
      <c r="D330" s="14" t="n">
        <v>4</v>
      </c>
      <c r="E330" s="14" t="s">
        <v>1916</v>
      </c>
      <c r="F330" s="14" t="s">
        <v>1921</v>
      </c>
      <c r="G330" s="14"/>
      <c r="H330" s="14"/>
      <c r="I330" s="14" t="s">
        <v>1922</v>
      </c>
      <c r="J330" s="14"/>
    </row>
    <row r="331" customFormat="false" ht="14.5" hidden="false" customHeight="false" outlineLevel="0" collapsed="false">
      <c r="A331" s="14" t="s">
        <v>1913</v>
      </c>
      <c r="B331" s="14" t="n">
        <v>92</v>
      </c>
      <c r="C331" s="14" t="n">
        <v>1</v>
      </c>
      <c r="D331" s="14" t="n">
        <v>5</v>
      </c>
      <c r="E331" s="14" t="s">
        <v>1923</v>
      </c>
      <c r="F331" s="14" t="s">
        <v>1548</v>
      </c>
      <c r="G331" s="14"/>
      <c r="H331" s="14"/>
      <c r="I331" s="14" t="s">
        <v>1924</v>
      </c>
      <c r="J331" s="14"/>
    </row>
    <row r="332" customFormat="false" ht="14.5" hidden="true" customHeight="false" outlineLevel="0" collapsed="false">
      <c r="A332" s="14" t="s">
        <v>1925</v>
      </c>
      <c r="B332" s="14" t="n">
        <v>92</v>
      </c>
      <c r="C332" s="14" t="n">
        <v>3</v>
      </c>
      <c r="D332" s="14" t="n">
        <v>1</v>
      </c>
      <c r="E332" s="14" t="s">
        <v>1916</v>
      </c>
      <c r="F332" s="14" t="s">
        <v>1926</v>
      </c>
      <c r="G332" s="14"/>
      <c r="H332" s="14"/>
      <c r="I332" s="14" t="s">
        <v>1927</v>
      </c>
      <c r="J332" s="14"/>
    </row>
    <row r="333" customFormat="false" ht="14.5" hidden="true" customHeight="false" outlineLevel="0" collapsed="false">
      <c r="A333" s="14" t="s">
        <v>1925</v>
      </c>
      <c r="B333" s="14" t="n">
        <v>92</v>
      </c>
      <c r="C333" s="14" t="n">
        <v>3</v>
      </c>
      <c r="D333" s="14" t="n">
        <v>2</v>
      </c>
      <c r="E333" s="14" t="s">
        <v>1914</v>
      </c>
      <c r="F333" s="14" t="s">
        <v>1928</v>
      </c>
      <c r="G333" s="14"/>
      <c r="H333" s="14"/>
      <c r="I333" s="14" t="s">
        <v>1929</v>
      </c>
      <c r="J333" s="14"/>
    </row>
    <row r="334" customFormat="false" ht="14.5" hidden="false" customHeight="false" outlineLevel="0" collapsed="false">
      <c r="A334" s="14" t="s">
        <v>1925</v>
      </c>
      <c r="B334" s="14" t="n">
        <v>92</v>
      </c>
      <c r="C334" s="14" t="n">
        <v>3</v>
      </c>
      <c r="D334" s="14" t="n">
        <v>3</v>
      </c>
      <c r="E334" s="14" t="s">
        <v>1923</v>
      </c>
      <c r="F334" s="14" t="s">
        <v>1930</v>
      </c>
      <c r="G334" s="14"/>
      <c r="H334" s="14"/>
      <c r="I334" s="14" t="s">
        <v>1931</v>
      </c>
      <c r="J334" s="14"/>
    </row>
    <row r="335" customFormat="false" ht="14.5" hidden="false" customHeight="false" outlineLevel="0" collapsed="false">
      <c r="A335" s="14" t="s">
        <v>1925</v>
      </c>
      <c r="B335" s="14" t="n">
        <v>92</v>
      </c>
      <c r="C335" s="14" t="n">
        <v>3</v>
      </c>
      <c r="D335" s="14" t="n">
        <v>4</v>
      </c>
      <c r="E335" s="14" t="s">
        <v>1932</v>
      </c>
      <c r="F335" s="14" t="s">
        <v>1933</v>
      </c>
      <c r="G335" s="14"/>
      <c r="H335" s="14"/>
      <c r="I335" s="14" t="s">
        <v>1934</v>
      </c>
      <c r="J335" s="14"/>
    </row>
    <row r="336" customFormat="false" ht="14.5" hidden="false" customHeight="false" outlineLevel="0" collapsed="false">
      <c r="A336" s="14" t="s">
        <v>1935</v>
      </c>
      <c r="B336" s="14" t="n">
        <v>97</v>
      </c>
      <c r="C336" s="14" t="n">
        <v>2</v>
      </c>
      <c r="D336" s="14" t="n">
        <v>1</v>
      </c>
      <c r="E336" s="14" t="s">
        <v>1936</v>
      </c>
      <c r="F336" s="14" t="s">
        <v>1332</v>
      </c>
      <c r="G336" s="14"/>
      <c r="H336" s="14"/>
      <c r="I336" s="14" t="s">
        <v>1937</v>
      </c>
      <c r="J336" s="14"/>
    </row>
    <row r="337" customFormat="false" ht="14.5" hidden="false" customHeight="false" outlineLevel="0" collapsed="false">
      <c r="A337" s="14" t="s">
        <v>1935</v>
      </c>
      <c r="B337" s="14" t="n">
        <v>97</v>
      </c>
      <c r="C337" s="14" t="n">
        <v>2</v>
      </c>
      <c r="D337" s="14" t="n">
        <v>2</v>
      </c>
      <c r="E337" s="14" t="s">
        <v>1938</v>
      </c>
      <c r="F337" s="14" t="s">
        <v>1939</v>
      </c>
      <c r="G337" s="14"/>
      <c r="H337" s="14"/>
      <c r="I337" s="14" t="s">
        <v>1940</v>
      </c>
      <c r="J337" s="14"/>
    </row>
    <row r="338" customFormat="false" ht="14.5" hidden="false" customHeight="false" outlineLevel="0" collapsed="false">
      <c r="A338" s="14" t="s">
        <v>1935</v>
      </c>
      <c r="B338" s="14" t="n">
        <v>97</v>
      </c>
      <c r="C338" s="14" t="n">
        <v>2</v>
      </c>
      <c r="D338" s="14" t="n">
        <v>3</v>
      </c>
      <c r="E338" s="14" t="s">
        <v>1941</v>
      </c>
      <c r="F338" s="14" t="s">
        <v>1365</v>
      </c>
      <c r="G338" s="14"/>
      <c r="H338" s="14"/>
      <c r="I338" s="14" t="s">
        <v>1942</v>
      </c>
      <c r="J338" s="14"/>
    </row>
    <row r="339" customFormat="false" ht="14.5" hidden="false" customHeight="false" outlineLevel="0" collapsed="false">
      <c r="A339" s="14" t="s">
        <v>1935</v>
      </c>
      <c r="B339" s="14" t="n">
        <v>97</v>
      </c>
      <c r="C339" s="14" t="n">
        <v>2</v>
      </c>
      <c r="D339" s="14" t="n">
        <v>4</v>
      </c>
      <c r="E339" s="14" t="s">
        <v>1938</v>
      </c>
      <c r="F339" s="14" t="s">
        <v>1939</v>
      </c>
      <c r="G339" s="14"/>
      <c r="H339" s="14"/>
      <c r="I339" s="14" t="s">
        <v>1943</v>
      </c>
      <c r="J339" s="14"/>
    </row>
    <row r="340" customFormat="false" ht="14.5" hidden="false" customHeight="false" outlineLevel="0" collapsed="false">
      <c r="A340" s="14" t="s">
        <v>1944</v>
      </c>
      <c r="B340" s="14" t="n">
        <v>97</v>
      </c>
      <c r="C340" s="14" t="n">
        <v>3</v>
      </c>
      <c r="D340" s="14" t="n">
        <v>1</v>
      </c>
      <c r="E340" s="14" t="s">
        <v>1945</v>
      </c>
      <c r="F340" s="14" t="s">
        <v>1332</v>
      </c>
      <c r="G340" s="14"/>
      <c r="H340" s="14"/>
      <c r="I340" s="14" t="s">
        <v>1946</v>
      </c>
      <c r="J340" s="14"/>
    </row>
    <row r="341" customFormat="false" ht="14.5" hidden="false" customHeight="false" outlineLevel="0" collapsed="false">
      <c r="A341" s="14" t="s">
        <v>1944</v>
      </c>
      <c r="B341" s="14" t="n">
        <v>97</v>
      </c>
      <c r="C341" s="14" t="n">
        <v>3</v>
      </c>
      <c r="D341" s="14" t="n">
        <v>2</v>
      </c>
      <c r="E341" s="14" t="s">
        <v>1936</v>
      </c>
      <c r="F341" s="14" t="s">
        <v>1341</v>
      </c>
      <c r="G341" s="14"/>
      <c r="H341" s="14"/>
      <c r="I341" s="14" t="s">
        <v>1947</v>
      </c>
      <c r="J341" s="14"/>
    </row>
    <row r="342" customFormat="false" ht="14.5" hidden="false" customHeight="false" outlineLevel="0" collapsed="false">
      <c r="A342" s="14" t="s">
        <v>1944</v>
      </c>
      <c r="B342" s="14" t="n">
        <v>97</v>
      </c>
      <c r="C342" s="14" t="n">
        <v>3</v>
      </c>
      <c r="D342" s="14" t="n">
        <v>3</v>
      </c>
      <c r="E342" s="14" t="s">
        <v>1941</v>
      </c>
      <c r="F342" s="14" t="s">
        <v>1341</v>
      </c>
      <c r="G342" s="14"/>
      <c r="H342" s="14"/>
      <c r="I342" s="14" t="s">
        <v>1948</v>
      </c>
      <c r="J342" s="14"/>
    </row>
    <row r="343" customFormat="false" ht="14.5" hidden="false" customHeight="false" outlineLevel="0" collapsed="false">
      <c r="A343" s="14" t="s">
        <v>1944</v>
      </c>
      <c r="B343" s="14" t="n">
        <v>97</v>
      </c>
      <c r="C343" s="14" t="n">
        <v>3</v>
      </c>
      <c r="D343" s="14" t="n">
        <v>4</v>
      </c>
      <c r="E343" s="14" t="s">
        <v>1949</v>
      </c>
      <c r="F343" s="14" t="s">
        <v>1341</v>
      </c>
      <c r="G343" s="14"/>
      <c r="H343" s="14"/>
      <c r="I343" s="14" t="s">
        <v>1950</v>
      </c>
      <c r="J343" s="14"/>
    </row>
    <row r="344" customFormat="false" ht="14.5" hidden="true" customHeight="false" outlineLevel="0" collapsed="false">
      <c r="A344" s="14" t="s">
        <v>1951</v>
      </c>
      <c r="B344" s="14" t="n">
        <v>102</v>
      </c>
      <c r="C344" s="14" t="n">
        <v>2</v>
      </c>
      <c r="D344" s="14" t="n">
        <v>1</v>
      </c>
      <c r="E344" s="14" t="s">
        <v>1952</v>
      </c>
      <c r="F344" s="14" t="s">
        <v>1216</v>
      </c>
      <c r="G344" s="14"/>
      <c r="H344" s="14"/>
      <c r="I344" s="14" t="s">
        <v>1953</v>
      </c>
      <c r="J344" s="14"/>
    </row>
    <row r="345" customFormat="false" ht="14.5" hidden="false" customHeight="false" outlineLevel="0" collapsed="false">
      <c r="A345" s="14" t="s">
        <v>1951</v>
      </c>
      <c r="B345" s="14" t="n">
        <v>102</v>
      </c>
      <c r="C345" s="14" t="n">
        <v>2</v>
      </c>
      <c r="D345" s="14" t="n">
        <v>2</v>
      </c>
      <c r="E345" s="14" t="s">
        <v>1954</v>
      </c>
      <c r="F345" s="14" t="s">
        <v>1955</v>
      </c>
      <c r="G345" s="14"/>
      <c r="H345" s="14"/>
      <c r="I345" s="14" t="s">
        <v>1956</v>
      </c>
      <c r="J345" s="14"/>
    </row>
    <row r="346" customFormat="false" ht="14.5" hidden="false" customHeight="false" outlineLevel="0" collapsed="false">
      <c r="A346" s="14" t="s">
        <v>1951</v>
      </c>
      <c r="B346" s="14" t="n">
        <v>102</v>
      </c>
      <c r="C346" s="14" t="n">
        <v>2</v>
      </c>
      <c r="D346" s="14" t="n">
        <v>3</v>
      </c>
      <c r="E346" s="14" t="s">
        <v>1957</v>
      </c>
      <c r="F346" s="14" t="s">
        <v>1955</v>
      </c>
      <c r="G346" s="14"/>
      <c r="H346" s="14"/>
      <c r="I346" s="14" t="s">
        <v>1958</v>
      </c>
      <c r="J346" s="14"/>
    </row>
    <row r="347" customFormat="false" ht="14.5" hidden="false" customHeight="false" outlineLevel="0" collapsed="false">
      <c r="A347" s="14" t="s">
        <v>1959</v>
      </c>
      <c r="B347" s="14" t="n">
        <v>110</v>
      </c>
      <c r="C347" s="14" t="n">
        <v>3</v>
      </c>
      <c r="D347" s="14" t="n">
        <v>1</v>
      </c>
      <c r="E347" s="14" t="s">
        <v>1960</v>
      </c>
      <c r="F347" s="14" t="s">
        <v>1332</v>
      </c>
      <c r="G347" s="14"/>
      <c r="H347" s="14"/>
      <c r="I347" s="14" t="s">
        <v>1961</v>
      </c>
      <c r="J347" s="14"/>
    </row>
    <row r="348" customFormat="false" ht="14.5" hidden="false" customHeight="false" outlineLevel="0" collapsed="false">
      <c r="A348" s="14" t="s">
        <v>1959</v>
      </c>
      <c r="B348" s="14" t="n">
        <v>110</v>
      </c>
      <c r="C348" s="14" t="n">
        <v>3</v>
      </c>
      <c r="D348" s="14" t="n">
        <v>2</v>
      </c>
      <c r="E348" s="14" t="s">
        <v>1592</v>
      </c>
      <c r="F348" s="14" t="s">
        <v>1341</v>
      </c>
      <c r="G348" s="14"/>
      <c r="H348" s="14"/>
      <c r="I348" s="14" t="s">
        <v>1962</v>
      </c>
      <c r="J348" s="14"/>
    </row>
    <row r="349" customFormat="false" ht="14.5" hidden="false" customHeight="false" outlineLevel="0" collapsed="false">
      <c r="A349" s="14" t="s">
        <v>1959</v>
      </c>
      <c r="B349" s="14" t="n">
        <v>110</v>
      </c>
      <c r="C349" s="14" t="n">
        <v>3</v>
      </c>
      <c r="D349" s="14" t="n">
        <v>4</v>
      </c>
      <c r="E349" s="14" t="s">
        <v>1963</v>
      </c>
      <c r="F349" s="14" t="s">
        <v>1335</v>
      </c>
      <c r="G349" s="14"/>
      <c r="H349" s="14"/>
      <c r="I349" s="14" t="s">
        <v>1964</v>
      </c>
      <c r="J349" s="14"/>
    </row>
    <row r="350" customFormat="false" ht="14.5" hidden="false" customHeight="false" outlineLevel="0" collapsed="false">
      <c r="A350" s="14" t="s">
        <v>1965</v>
      </c>
      <c r="B350" s="14" t="n">
        <v>112</v>
      </c>
      <c r="C350" s="14" t="n">
        <v>1</v>
      </c>
      <c r="D350" s="14" t="n">
        <v>1</v>
      </c>
      <c r="E350" s="14" t="s">
        <v>1966</v>
      </c>
      <c r="F350" s="14" t="s">
        <v>1967</v>
      </c>
      <c r="G350" s="14"/>
      <c r="H350" s="14"/>
      <c r="I350" s="14" t="s">
        <v>1968</v>
      </c>
      <c r="J350" s="14"/>
    </row>
    <row r="351" customFormat="false" ht="14.5" hidden="false" customHeight="false" outlineLevel="0" collapsed="false">
      <c r="A351" s="14" t="s">
        <v>1965</v>
      </c>
      <c r="B351" s="14" t="n">
        <v>112</v>
      </c>
      <c r="C351" s="14" t="n">
        <v>1</v>
      </c>
      <c r="D351" s="14" t="n">
        <v>2</v>
      </c>
      <c r="E351" s="14" t="s">
        <v>1179</v>
      </c>
      <c r="F351" s="14" t="s">
        <v>1969</v>
      </c>
      <c r="G351" s="14"/>
      <c r="H351" s="14"/>
      <c r="I351" s="14" t="s">
        <v>1970</v>
      </c>
      <c r="J351" s="14"/>
    </row>
    <row r="352" customFormat="false" ht="14.5" hidden="true" customHeight="false" outlineLevel="0" collapsed="false">
      <c r="A352" s="14" t="s">
        <v>1965</v>
      </c>
      <c r="B352" s="14" t="n">
        <v>112</v>
      </c>
      <c r="C352" s="14" t="n">
        <v>1</v>
      </c>
      <c r="D352" s="14" t="n">
        <v>3</v>
      </c>
      <c r="E352" s="14" t="s">
        <v>1592</v>
      </c>
      <c r="F352" s="14" t="s">
        <v>1971</v>
      </c>
      <c r="G352" s="14"/>
      <c r="H352" s="14"/>
      <c r="I352" s="14" t="s">
        <v>1972</v>
      </c>
      <c r="J352" s="14"/>
    </row>
    <row r="353" customFormat="false" ht="14.5" hidden="false" customHeight="false" outlineLevel="0" collapsed="false">
      <c r="A353" s="14" t="s">
        <v>1965</v>
      </c>
      <c r="B353" s="14" t="n">
        <v>112</v>
      </c>
      <c r="C353" s="14" t="n">
        <v>1</v>
      </c>
      <c r="D353" s="14" t="n">
        <v>4</v>
      </c>
      <c r="E353" s="14" t="s">
        <v>1973</v>
      </c>
      <c r="F353" s="14" t="s">
        <v>1921</v>
      </c>
      <c r="G353" s="14"/>
      <c r="H353" s="14"/>
      <c r="I353" s="14" t="s">
        <v>1974</v>
      </c>
      <c r="J353" s="14"/>
    </row>
    <row r="354" customFormat="false" ht="14.5" hidden="true" customHeight="false" outlineLevel="0" collapsed="false">
      <c r="A354" s="14" t="s">
        <v>1965</v>
      </c>
      <c r="B354" s="14" t="n">
        <v>112</v>
      </c>
      <c r="C354" s="14" t="n">
        <v>1</v>
      </c>
      <c r="D354" s="14" t="n">
        <v>5</v>
      </c>
      <c r="E354" s="14" t="s">
        <v>1975</v>
      </c>
      <c r="F354" s="14" t="s">
        <v>1886</v>
      </c>
      <c r="G354" s="14"/>
      <c r="H354" s="14"/>
      <c r="I354" s="14" t="s">
        <v>1976</v>
      </c>
      <c r="J354" s="14"/>
    </row>
    <row r="355" customFormat="false" ht="14.5" hidden="false" customHeight="false" outlineLevel="0" collapsed="false">
      <c r="A355" s="14" t="s">
        <v>1965</v>
      </c>
      <c r="B355" s="14" t="n">
        <v>112</v>
      </c>
      <c r="C355" s="14" t="n">
        <v>1</v>
      </c>
      <c r="D355" s="14" t="n">
        <v>6</v>
      </c>
      <c r="E355" s="14" t="s">
        <v>1975</v>
      </c>
      <c r="F355" s="14" t="s">
        <v>1977</v>
      </c>
      <c r="G355" s="14"/>
      <c r="H355" s="14"/>
      <c r="I355" s="14" t="s">
        <v>1978</v>
      </c>
      <c r="J355" s="14"/>
    </row>
    <row r="356" customFormat="false" ht="14.5" hidden="false" customHeight="false" outlineLevel="0" collapsed="false">
      <c r="A356" s="14" t="s">
        <v>1979</v>
      </c>
      <c r="B356" s="14" t="n">
        <v>112</v>
      </c>
      <c r="C356" s="14" t="n">
        <v>3</v>
      </c>
      <c r="D356" s="14" t="n">
        <v>1</v>
      </c>
      <c r="E356" s="14" t="s">
        <v>1980</v>
      </c>
      <c r="F356" s="14" t="s">
        <v>1981</v>
      </c>
      <c r="G356" s="14"/>
      <c r="H356" s="14"/>
      <c r="I356" s="14" t="s">
        <v>1982</v>
      </c>
      <c r="J356" s="14"/>
    </row>
    <row r="357" customFormat="false" ht="14.5" hidden="false" customHeight="false" outlineLevel="0" collapsed="false">
      <c r="A357" s="14" t="s">
        <v>1979</v>
      </c>
      <c r="B357" s="14" t="n">
        <v>112</v>
      </c>
      <c r="C357" s="14" t="n">
        <v>3</v>
      </c>
      <c r="D357" s="14" t="n">
        <v>2</v>
      </c>
      <c r="E357" s="14" t="s">
        <v>1983</v>
      </c>
      <c r="F357" s="14" t="s">
        <v>1981</v>
      </c>
      <c r="G357" s="14"/>
      <c r="H357" s="14"/>
      <c r="I357" s="14" t="s">
        <v>1984</v>
      </c>
      <c r="J357" s="14"/>
    </row>
    <row r="358" customFormat="false" ht="14.5" hidden="true" customHeight="false" outlineLevel="0" collapsed="false">
      <c r="A358" s="14" t="s">
        <v>1979</v>
      </c>
      <c r="B358" s="14" t="n">
        <v>112</v>
      </c>
      <c r="C358" s="14" t="n">
        <v>3</v>
      </c>
      <c r="D358" s="14" t="n">
        <v>3</v>
      </c>
      <c r="E358" s="14" t="s">
        <v>1975</v>
      </c>
      <c r="F358" s="14" t="s">
        <v>1985</v>
      </c>
      <c r="G358" s="14"/>
      <c r="H358" s="14"/>
      <c r="I358" s="14" t="s">
        <v>1986</v>
      </c>
      <c r="J358" s="14"/>
    </row>
    <row r="359" customFormat="false" ht="14.5" hidden="false" customHeight="false" outlineLevel="0" collapsed="false">
      <c r="A359" s="14" t="s">
        <v>1979</v>
      </c>
      <c r="B359" s="14" t="n">
        <v>112</v>
      </c>
      <c r="C359" s="14" t="n">
        <v>3</v>
      </c>
      <c r="D359" s="14" t="n">
        <v>4</v>
      </c>
      <c r="E359" s="14" t="s">
        <v>1973</v>
      </c>
      <c r="F359" s="14" t="s">
        <v>1981</v>
      </c>
      <c r="G359" s="14"/>
      <c r="H359" s="14"/>
      <c r="I359" s="14" t="s">
        <v>1987</v>
      </c>
      <c r="J359" s="14"/>
    </row>
    <row r="360" customFormat="false" ht="14.5" hidden="true" customHeight="false" outlineLevel="0" collapsed="false">
      <c r="A360" s="14" t="s">
        <v>1979</v>
      </c>
      <c r="B360" s="14" t="n">
        <v>112</v>
      </c>
      <c r="C360" s="14" t="n">
        <v>3</v>
      </c>
      <c r="D360" s="14" t="n">
        <v>5</v>
      </c>
      <c r="E360" s="14" t="s">
        <v>1973</v>
      </c>
      <c r="F360" s="14" t="s">
        <v>1319</v>
      </c>
      <c r="G360" s="14"/>
      <c r="H360" s="14"/>
      <c r="I360" s="14" t="s">
        <v>1988</v>
      </c>
      <c r="J360" s="14"/>
    </row>
    <row r="361" customFormat="false" ht="14.5" hidden="true" customHeight="false" outlineLevel="0" collapsed="false">
      <c r="A361" s="14" t="s">
        <v>1979</v>
      </c>
      <c r="B361" s="14" t="n">
        <v>112</v>
      </c>
      <c r="C361" s="14" t="n">
        <v>3</v>
      </c>
      <c r="D361" s="14" t="n">
        <v>6</v>
      </c>
      <c r="E361" s="14" t="s">
        <v>1975</v>
      </c>
      <c r="F361" s="14" t="s">
        <v>1322</v>
      </c>
      <c r="G361" s="14"/>
      <c r="H361" s="14"/>
      <c r="I361" s="14" t="s">
        <v>1989</v>
      </c>
      <c r="J361" s="14"/>
    </row>
    <row r="362" customFormat="false" ht="14.5" hidden="true" customHeight="false" outlineLevel="0" collapsed="false">
      <c r="A362" s="14" t="s">
        <v>1979</v>
      </c>
      <c r="B362" s="14" t="n">
        <v>112</v>
      </c>
      <c r="C362" s="14" t="n">
        <v>3</v>
      </c>
      <c r="D362" s="14" t="n">
        <v>7</v>
      </c>
      <c r="E362" s="14" t="s">
        <v>1990</v>
      </c>
      <c r="F362" s="14" t="s">
        <v>1319</v>
      </c>
      <c r="G362" s="14"/>
      <c r="H362" s="14"/>
      <c r="I362" s="14" t="s">
        <v>1991</v>
      </c>
      <c r="J362" s="14"/>
    </row>
    <row r="363" customFormat="false" ht="14.5" hidden="true" customHeight="false" outlineLevel="0" collapsed="false">
      <c r="A363" s="14" t="s">
        <v>1979</v>
      </c>
      <c r="B363" s="14" t="n">
        <v>112</v>
      </c>
      <c r="C363" s="14" t="n">
        <v>3</v>
      </c>
      <c r="D363" s="14" t="n">
        <v>8</v>
      </c>
      <c r="E363" s="14" t="s">
        <v>1990</v>
      </c>
      <c r="F363" s="14" t="s">
        <v>1322</v>
      </c>
      <c r="G363" s="14"/>
      <c r="H363" s="14"/>
      <c r="I363" s="14" t="s">
        <v>1992</v>
      </c>
      <c r="J363" s="14"/>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6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11" activeCellId="1" sqref="G14:I22 E11"/>
    </sheetView>
  </sheetViews>
  <sheetFormatPr defaultColWidth="8.4296875" defaultRowHeight="15" zeroHeight="false" outlineLevelRow="0" outlineLevelCol="0"/>
  <cols>
    <col collapsed="false" customWidth="true" hidden="false" outlineLevel="0" max="5" min="4" style="0" width="17"/>
    <col collapsed="false" customWidth="true" hidden="false" outlineLevel="0" max="6" min="6" style="0" width="24.45"/>
    <col collapsed="false" customWidth="true" hidden="false" outlineLevel="0" max="7" min="7" style="0" width="12.17"/>
    <col collapsed="false" customWidth="true" hidden="false" outlineLevel="0" max="8" min="8" style="0" width="31.27"/>
    <col collapsed="false" customWidth="true" hidden="false" outlineLevel="0" max="9" min="9" style="0" width="13"/>
  </cols>
  <sheetData>
    <row r="1" customFormat="false" ht="15" hidden="false" customHeight="false" outlineLevel="0" collapsed="false">
      <c r="A1" s="12" t="s">
        <v>1161</v>
      </c>
      <c r="B1" s="12" t="s">
        <v>21</v>
      </c>
      <c r="C1" s="12" t="s">
        <v>892</v>
      </c>
      <c r="D1" s="12" t="s">
        <v>1164</v>
      </c>
      <c r="E1" s="12" t="s">
        <v>1993</v>
      </c>
      <c r="F1" s="12" t="s">
        <v>1165</v>
      </c>
      <c r="G1" s="12" t="s">
        <v>1166</v>
      </c>
      <c r="H1" s="12" t="s">
        <v>1167</v>
      </c>
      <c r="I1" s="12" t="s">
        <v>1168</v>
      </c>
    </row>
    <row r="2" customFormat="false" ht="15" hidden="false" customHeight="false" outlineLevel="0" collapsed="false">
      <c r="A2" s="14" t="s">
        <v>895</v>
      </c>
      <c r="B2" s="14" t="n">
        <v>3</v>
      </c>
      <c r="C2" s="14" t="n">
        <v>3</v>
      </c>
      <c r="D2" s="14" t="s">
        <v>1179</v>
      </c>
      <c r="E2" s="14"/>
      <c r="F2" s="14" t="s">
        <v>1180</v>
      </c>
      <c r="G2" s="14" t="s">
        <v>1994</v>
      </c>
      <c r="H2" s="7" t="s">
        <v>1995</v>
      </c>
      <c r="I2" s="14" t="s">
        <v>1181</v>
      </c>
    </row>
    <row r="3" customFormat="false" ht="15" hidden="false" customHeight="false" outlineLevel="0" collapsed="false">
      <c r="A3" s="14" t="s">
        <v>895</v>
      </c>
      <c r="B3" s="14" t="n">
        <v>3</v>
      </c>
      <c r="C3" s="14" t="n">
        <v>4</v>
      </c>
      <c r="D3" s="14" t="s">
        <v>1182</v>
      </c>
      <c r="E3" s="14"/>
      <c r="F3" s="14" t="s">
        <v>1183</v>
      </c>
      <c r="G3" s="14" t="s">
        <v>1996</v>
      </c>
      <c r="H3" s="14"/>
      <c r="I3" s="14" t="s">
        <v>1184</v>
      </c>
    </row>
    <row r="4" customFormat="false" ht="15" hidden="false" customHeight="false" outlineLevel="0" collapsed="false">
      <c r="A4" s="14" t="s">
        <v>895</v>
      </c>
      <c r="B4" s="14" t="n">
        <v>3</v>
      </c>
      <c r="C4" s="14" t="n">
        <v>5</v>
      </c>
      <c r="D4" s="14" t="s">
        <v>1179</v>
      </c>
      <c r="E4" s="14"/>
      <c r="F4" s="14" t="s">
        <v>1185</v>
      </c>
      <c r="G4" s="14" t="s">
        <v>1996</v>
      </c>
      <c r="H4" s="14"/>
      <c r="I4" s="14" t="s">
        <v>1186</v>
      </c>
    </row>
    <row r="5" customFormat="false" ht="15" hidden="false" customHeight="false" outlineLevel="0" collapsed="false">
      <c r="A5" s="14" t="s">
        <v>900</v>
      </c>
      <c r="B5" s="14" t="n">
        <v>3</v>
      </c>
      <c r="C5" s="14" t="n">
        <v>5</v>
      </c>
      <c r="D5" s="14" t="s">
        <v>1997</v>
      </c>
      <c r="E5" s="14"/>
      <c r="F5" s="14" t="s">
        <v>1199</v>
      </c>
      <c r="G5" s="14" t="s">
        <v>1996</v>
      </c>
      <c r="H5" s="14"/>
      <c r="I5" s="14" t="s">
        <v>1200</v>
      </c>
    </row>
    <row r="6" customFormat="false" ht="15" hidden="false" customHeight="false" outlineLevel="0" collapsed="false">
      <c r="A6" s="14" t="s">
        <v>905</v>
      </c>
      <c r="B6" s="14" t="n">
        <v>3</v>
      </c>
      <c r="C6" s="14" t="n">
        <v>2</v>
      </c>
      <c r="D6" s="14" t="s">
        <v>1204</v>
      </c>
      <c r="E6" s="14"/>
      <c r="F6" s="14" t="s">
        <v>1647</v>
      </c>
      <c r="G6" s="14" t="s">
        <v>1998</v>
      </c>
      <c r="H6" s="14"/>
      <c r="I6" s="14" t="s">
        <v>1206</v>
      </c>
    </row>
    <row r="7" customFormat="false" ht="15" hidden="false" customHeight="false" outlineLevel="0" collapsed="false">
      <c r="A7" s="14" t="s">
        <v>905</v>
      </c>
      <c r="B7" s="14" t="n">
        <v>3</v>
      </c>
      <c r="C7" s="14" t="n">
        <v>5</v>
      </c>
      <c r="D7" s="14" t="s">
        <v>1204</v>
      </c>
      <c r="E7" s="14"/>
      <c r="F7" s="14" t="s">
        <v>1389</v>
      </c>
      <c r="G7" s="14" t="s">
        <v>1999</v>
      </c>
      <c r="H7" s="14"/>
      <c r="I7" s="14" t="s">
        <v>1213</v>
      </c>
    </row>
    <row r="8" customFormat="false" ht="15" hidden="false" customHeight="false" outlineLevel="0" collapsed="false">
      <c r="A8" s="14" t="s">
        <v>1214</v>
      </c>
      <c r="B8" s="14" t="n">
        <v>5</v>
      </c>
      <c r="C8" s="14" t="n">
        <v>3</v>
      </c>
      <c r="D8" s="14" t="s">
        <v>1221</v>
      </c>
      <c r="E8" s="14"/>
      <c r="F8" s="14" t="s">
        <v>1222</v>
      </c>
      <c r="G8" s="14" t="s">
        <v>2000</v>
      </c>
      <c r="H8" s="14"/>
      <c r="I8" s="14" t="s">
        <v>1223</v>
      </c>
    </row>
    <row r="9" customFormat="false" ht="15" hidden="false" customHeight="false" outlineLevel="0" collapsed="false">
      <c r="A9" s="14" t="s">
        <v>1214</v>
      </c>
      <c r="B9" s="14" t="n">
        <v>5</v>
      </c>
      <c r="C9" s="14" t="n">
        <v>4</v>
      </c>
      <c r="D9" s="14" t="s">
        <v>1224</v>
      </c>
      <c r="E9" s="14"/>
      <c r="F9" s="14" t="s">
        <v>1225</v>
      </c>
      <c r="G9" s="14" t="s">
        <v>2001</v>
      </c>
      <c r="H9" s="14"/>
      <c r="I9" s="14" t="s">
        <v>1226</v>
      </c>
    </row>
    <row r="10" customFormat="false" ht="15" hidden="false" customHeight="false" outlineLevel="0" collapsed="false">
      <c r="A10" s="14" t="s">
        <v>1227</v>
      </c>
      <c r="B10" s="14" t="n">
        <v>5</v>
      </c>
      <c r="C10" s="14" t="n">
        <v>1</v>
      </c>
      <c r="D10" s="14" t="s">
        <v>1228</v>
      </c>
      <c r="E10" s="14"/>
      <c r="F10" s="14" t="s">
        <v>1229</v>
      </c>
      <c r="G10" s="14" t="s">
        <v>2002</v>
      </c>
      <c r="H10" s="14"/>
      <c r="I10" s="14" t="s">
        <v>1230</v>
      </c>
    </row>
    <row r="11" customFormat="false" ht="15" hidden="false" customHeight="false" outlineLevel="0" collapsed="false">
      <c r="A11" s="14" t="s">
        <v>1227</v>
      </c>
      <c r="B11" s="14" t="n">
        <v>5</v>
      </c>
      <c r="C11" s="14" t="n">
        <v>2</v>
      </c>
      <c r="D11" s="14" t="s">
        <v>1231</v>
      </c>
      <c r="E11" s="14"/>
      <c r="F11" s="14" t="s">
        <v>1232</v>
      </c>
      <c r="G11" s="14" t="s">
        <v>2003</v>
      </c>
      <c r="H11" s="14"/>
      <c r="I11" s="14" t="s">
        <v>1233</v>
      </c>
    </row>
    <row r="12" customFormat="false" ht="15" hidden="false" customHeight="false" outlineLevel="0" collapsed="false">
      <c r="A12" s="14" t="s">
        <v>1252</v>
      </c>
      <c r="B12" s="14" t="n">
        <v>5</v>
      </c>
      <c r="C12" s="14" t="n">
        <v>4</v>
      </c>
      <c r="D12" s="14" t="s">
        <v>1261</v>
      </c>
      <c r="E12" s="14"/>
      <c r="F12" s="14" t="s">
        <v>1262</v>
      </c>
      <c r="G12" s="14" t="s">
        <v>2004</v>
      </c>
      <c r="H12" s="14"/>
      <c r="I12" s="14" t="s">
        <v>1263</v>
      </c>
    </row>
    <row r="13" customFormat="false" ht="15" hidden="false" customHeight="false" outlineLevel="0" collapsed="false">
      <c r="A13" s="14" t="s">
        <v>1252</v>
      </c>
      <c r="B13" s="14" t="n">
        <v>5</v>
      </c>
      <c r="C13" s="14" t="n">
        <v>7</v>
      </c>
      <c r="D13" s="14" t="s">
        <v>1259</v>
      </c>
      <c r="E13" s="14"/>
      <c r="F13" s="14" t="s">
        <v>1283</v>
      </c>
      <c r="G13" s="14" t="s">
        <v>2005</v>
      </c>
      <c r="H13" s="14"/>
      <c r="I13" s="14" t="s">
        <v>1284</v>
      </c>
    </row>
    <row r="14" customFormat="false" ht="15" hidden="false" customHeight="false" outlineLevel="0" collapsed="false">
      <c r="A14" s="14" t="s">
        <v>1285</v>
      </c>
      <c r="B14" s="14" t="n">
        <v>14</v>
      </c>
      <c r="C14" s="14" t="n">
        <v>1</v>
      </c>
      <c r="D14" s="14" t="s">
        <v>1286</v>
      </c>
      <c r="E14" s="14" t="s">
        <v>151</v>
      </c>
      <c r="F14" s="14" t="s">
        <v>1647</v>
      </c>
      <c r="G14" s="14" t="n">
        <f aca="false">FALSE()</f>
        <v>0</v>
      </c>
      <c r="H14" s="14"/>
      <c r="I14" s="14" t="s">
        <v>1287</v>
      </c>
    </row>
    <row r="15" customFormat="false" ht="15" hidden="false" customHeight="false" outlineLevel="0" collapsed="false">
      <c r="A15" s="14" t="s">
        <v>1285</v>
      </c>
      <c r="B15" s="14" t="n">
        <v>14</v>
      </c>
      <c r="C15" s="14" t="n">
        <v>2</v>
      </c>
      <c r="D15" s="14" t="s">
        <v>1288</v>
      </c>
      <c r="E15" s="14" t="s">
        <v>151</v>
      </c>
      <c r="F15" s="14" t="s">
        <v>1306</v>
      </c>
      <c r="G15" s="14" t="s">
        <v>2006</v>
      </c>
      <c r="H15" s="14"/>
      <c r="I15" s="14" t="s">
        <v>1290</v>
      </c>
    </row>
    <row r="16" customFormat="false" ht="15" hidden="false" customHeight="false" outlineLevel="0" collapsed="false">
      <c r="A16" s="14" t="s">
        <v>1285</v>
      </c>
      <c r="B16" s="14" t="n">
        <v>14</v>
      </c>
      <c r="C16" s="14" t="n">
        <v>3</v>
      </c>
      <c r="D16" s="14" t="s">
        <v>1288</v>
      </c>
      <c r="E16" s="14" t="s">
        <v>151</v>
      </c>
      <c r="F16" s="14" t="s">
        <v>1306</v>
      </c>
      <c r="G16" s="14" t="s">
        <v>2007</v>
      </c>
      <c r="H16" s="14"/>
      <c r="I16" s="14" t="s">
        <v>1291</v>
      </c>
    </row>
    <row r="17" customFormat="false" ht="15" hidden="false" customHeight="false" outlineLevel="0" collapsed="false">
      <c r="A17" s="14" t="s">
        <v>1285</v>
      </c>
      <c r="B17" s="14" t="n">
        <v>14</v>
      </c>
      <c r="C17" s="14" t="n">
        <v>4</v>
      </c>
      <c r="D17" s="14" t="s">
        <v>1288</v>
      </c>
      <c r="E17" s="14" t="s">
        <v>151</v>
      </c>
      <c r="F17" s="14" t="s">
        <v>1292</v>
      </c>
      <c r="G17" s="14" t="s">
        <v>2008</v>
      </c>
      <c r="H17" s="14"/>
      <c r="I17" s="14" t="s">
        <v>1293</v>
      </c>
    </row>
    <row r="18" customFormat="false" ht="15" hidden="false" customHeight="false" outlineLevel="0" collapsed="false">
      <c r="A18" s="14" t="s">
        <v>1285</v>
      </c>
      <c r="B18" s="14" t="n">
        <v>14</v>
      </c>
      <c r="C18" s="14" t="n">
        <v>5</v>
      </c>
      <c r="D18" s="14" t="s">
        <v>1294</v>
      </c>
      <c r="E18" s="14" t="s">
        <v>151</v>
      </c>
      <c r="F18" s="14" t="s">
        <v>1306</v>
      </c>
      <c r="G18" s="14" t="s">
        <v>2009</v>
      </c>
      <c r="H18" s="14"/>
      <c r="I18" s="14" t="s">
        <v>1295</v>
      </c>
    </row>
    <row r="19" customFormat="false" ht="15" hidden="false" customHeight="false" outlineLevel="0" collapsed="false">
      <c r="A19" s="14" t="s">
        <v>1285</v>
      </c>
      <c r="B19" s="14" t="n">
        <v>14</v>
      </c>
      <c r="C19" s="14" t="n">
        <v>1</v>
      </c>
      <c r="D19" s="14" t="s">
        <v>1296</v>
      </c>
      <c r="E19" s="14" t="s">
        <v>2010</v>
      </c>
      <c r="F19" s="14" t="s">
        <v>1647</v>
      </c>
      <c r="G19" s="14" t="s">
        <v>2005</v>
      </c>
      <c r="H19" s="14"/>
      <c r="I19" s="14" t="s">
        <v>1297</v>
      </c>
    </row>
    <row r="20" customFormat="false" ht="15" hidden="false" customHeight="false" outlineLevel="0" collapsed="false">
      <c r="A20" s="14" t="s">
        <v>1285</v>
      </c>
      <c r="B20" s="14" t="n">
        <v>14</v>
      </c>
      <c r="C20" s="14" t="n">
        <v>2</v>
      </c>
      <c r="D20" s="14" t="s">
        <v>1298</v>
      </c>
      <c r="E20" s="14" t="s">
        <v>2010</v>
      </c>
      <c r="F20" s="14" t="s">
        <v>1306</v>
      </c>
      <c r="G20" s="14" t="s">
        <v>2009</v>
      </c>
      <c r="H20" s="14"/>
      <c r="I20" s="14" t="s">
        <v>1299</v>
      </c>
    </row>
    <row r="21" customFormat="false" ht="15" hidden="false" customHeight="false" outlineLevel="0" collapsed="false">
      <c r="A21" s="14" t="s">
        <v>1285</v>
      </c>
      <c r="B21" s="14" t="n">
        <v>14</v>
      </c>
      <c r="C21" s="14" t="n">
        <v>3</v>
      </c>
      <c r="D21" s="14" t="s">
        <v>1300</v>
      </c>
      <c r="E21" s="14" t="s">
        <v>2010</v>
      </c>
      <c r="F21" s="14" t="s">
        <v>1306</v>
      </c>
      <c r="G21" s="14" t="s">
        <v>2011</v>
      </c>
      <c r="H21" s="14"/>
      <c r="I21" s="14" t="s">
        <v>1301</v>
      </c>
    </row>
    <row r="22" customFormat="false" ht="15" hidden="false" customHeight="false" outlineLevel="0" collapsed="false">
      <c r="A22" s="14" t="s">
        <v>1285</v>
      </c>
      <c r="B22" s="14" t="n">
        <v>14</v>
      </c>
      <c r="C22" s="14" t="n">
        <v>4</v>
      </c>
      <c r="D22" s="14" t="s">
        <v>1288</v>
      </c>
      <c r="E22" s="14" t="s">
        <v>2010</v>
      </c>
      <c r="F22" s="14" t="s">
        <v>1306</v>
      </c>
      <c r="G22" s="14" t="s">
        <v>1133</v>
      </c>
      <c r="H22" s="7" t="s">
        <v>2012</v>
      </c>
      <c r="I22" s="14" t="s">
        <v>1302</v>
      </c>
    </row>
    <row r="23" customFormat="false" ht="15" hidden="false" customHeight="false" outlineLevel="0" collapsed="false">
      <c r="A23" s="14" t="s">
        <v>1285</v>
      </c>
      <c r="B23" s="14" t="n">
        <v>14</v>
      </c>
      <c r="C23" s="14" t="n">
        <v>5</v>
      </c>
      <c r="D23" s="14" t="s">
        <v>1303</v>
      </c>
      <c r="E23" s="14" t="s">
        <v>2010</v>
      </c>
      <c r="F23" s="14" t="s">
        <v>1306</v>
      </c>
      <c r="G23" s="14" t="s">
        <v>2013</v>
      </c>
      <c r="H23" s="14"/>
      <c r="I23" s="14" t="s">
        <v>1304</v>
      </c>
    </row>
    <row r="24" customFormat="false" ht="15" hidden="false" customHeight="false" outlineLevel="0" collapsed="false">
      <c r="A24" s="14" t="s">
        <v>1305</v>
      </c>
      <c r="B24" s="14" t="n">
        <v>14</v>
      </c>
      <c r="C24" s="14" t="n">
        <v>1</v>
      </c>
      <c r="D24" s="14" t="s">
        <v>1288</v>
      </c>
      <c r="E24" s="14" t="s">
        <v>151</v>
      </c>
      <c r="F24" s="14" t="s">
        <v>1306</v>
      </c>
      <c r="G24" s="14" t="s">
        <v>2006</v>
      </c>
      <c r="H24" s="14"/>
      <c r="I24" s="14" t="s">
        <v>1307</v>
      </c>
    </row>
    <row r="25" customFormat="false" ht="15" hidden="false" customHeight="false" outlineLevel="0" collapsed="false">
      <c r="A25" s="14" t="s">
        <v>1305</v>
      </c>
      <c r="B25" s="14" t="n">
        <v>14</v>
      </c>
      <c r="C25" s="14" t="n">
        <v>1</v>
      </c>
      <c r="D25" s="14" t="s">
        <v>1312</v>
      </c>
      <c r="E25" s="14" t="s">
        <v>2010</v>
      </c>
      <c r="F25" s="14" t="s">
        <v>1647</v>
      </c>
      <c r="G25" s="14" t="s">
        <v>2008</v>
      </c>
      <c r="H25" s="14"/>
      <c r="I25" s="14" t="s">
        <v>1313</v>
      </c>
    </row>
    <row r="26" customFormat="false" ht="15" hidden="false" customHeight="false" outlineLevel="0" collapsed="false">
      <c r="A26" s="14" t="s">
        <v>1305</v>
      </c>
      <c r="B26" s="14" t="n">
        <v>14</v>
      </c>
      <c r="C26" s="14" t="n">
        <v>2</v>
      </c>
      <c r="D26" s="14" t="s">
        <v>1314</v>
      </c>
      <c r="E26" s="14" t="s">
        <v>2010</v>
      </c>
      <c r="F26" s="14" t="s">
        <v>1647</v>
      </c>
      <c r="G26" s="14" t="s">
        <v>2008</v>
      </c>
      <c r="H26" s="14"/>
      <c r="I26" s="14" t="s">
        <v>1315</v>
      </c>
    </row>
    <row r="27" customFormat="false" ht="15" hidden="false" customHeight="false" outlineLevel="0" collapsed="false">
      <c r="A27" s="14" t="s">
        <v>1305</v>
      </c>
      <c r="B27" s="14" t="n">
        <v>14</v>
      </c>
      <c r="C27" s="14" t="n">
        <v>3</v>
      </c>
      <c r="D27" s="14" t="s">
        <v>1288</v>
      </c>
      <c r="E27" s="14" t="s">
        <v>2010</v>
      </c>
      <c r="F27" s="14" t="s">
        <v>1306</v>
      </c>
      <c r="G27" s="14" t="s">
        <v>1133</v>
      </c>
      <c r="H27" s="7" t="s">
        <v>2012</v>
      </c>
      <c r="I27" s="14" t="s">
        <v>1316</v>
      </c>
    </row>
    <row r="28" customFormat="false" ht="15" hidden="false" customHeight="false" outlineLevel="0" collapsed="false">
      <c r="A28" s="14" t="s">
        <v>909</v>
      </c>
      <c r="B28" s="14" t="n">
        <v>16</v>
      </c>
      <c r="C28" s="14" t="n">
        <v>1</v>
      </c>
      <c r="D28" s="14" t="s">
        <v>1256</v>
      </c>
      <c r="E28" s="15" t="s">
        <v>2014</v>
      </c>
      <c r="F28" s="14" t="s">
        <v>1324</v>
      </c>
      <c r="G28" s="14" t="s">
        <v>2006</v>
      </c>
      <c r="H28" s="14"/>
      <c r="I28" s="14" t="s">
        <v>1325</v>
      </c>
    </row>
    <row r="29" customFormat="false" ht="15" hidden="false" customHeight="false" outlineLevel="0" collapsed="false">
      <c r="A29" s="14" t="s">
        <v>909</v>
      </c>
      <c r="B29" s="14" t="n">
        <v>16</v>
      </c>
      <c r="C29" s="14" t="n">
        <v>4</v>
      </c>
      <c r="D29" s="14" t="s">
        <v>1256</v>
      </c>
      <c r="E29" s="15" t="s">
        <v>2014</v>
      </c>
      <c r="F29" s="14" t="s">
        <v>1329</v>
      </c>
      <c r="G29" s="14" t="s">
        <v>2015</v>
      </c>
      <c r="H29" s="14"/>
      <c r="I29" s="14" t="s">
        <v>1330</v>
      </c>
    </row>
    <row r="30" customFormat="false" ht="15" hidden="false" customHeight="false" outlineLevel="0" collapsed="false">
      <c r="A30" s="14" t="s">
        <v>909</v>
      </c>
      <c r="B30" s="14" t="n">
        <v>16</v>
      </c>
      <c r="C30" s="14" t="n">
        <v>1</v>
      </c>
      <c r="D30" s="14" t="s">
        <v>1331</v>
      </c>
      <c r="E30" s="14" t="s">
        <v>170</v>
      </c>
      <c r="F30" s="14" t="s">
        <v>1647</v>
      </c>
      <c r="G30" s="14" t="s">
        <v>2016</v>
      </c>
      <c r="H30" s="7" t="s">
        <v>2017</v>
      </c>
      <c r="I30" s="14" t="s">
        <v>1333</v>
      </c>
    </row>
    <row r="31" customFormat="false" ht="15" hidden="false" customHeight="false" outlineLevel="0" collapsed="false">
      <c r="A31" s="14" t="s">
        <v>909</v>
      </c>
      <c r="B31" s="14" t="n">
        <v>16</v>
      </c>
      <c r="C31" s="14" t="n">
        <v>2</v>
      </c>
      <c r="D31" s="14" t="s">
        <v>1334</v>
      </c>
      <c r="E31" s="14" t="s">
        <v>170</v>
      </c>
      <c r="F31" s="14" t="s">
        <v>1335</v>
      </c>
      <c r="G31" s="14" t="s">
        <v>2018</v>
      </c>
      <c r="H31" s="14"/>
      <c r="I31" s="14" t="s">
        <v>1336</v>
      </c>
    </row>
    <row r="32" customFormat="false" ht="15" hidden="false" customHeight="false" outlineLevel="0" collapsed="false">
      <c r="A32" s="14" t="s">
        <v>909</v>
      </c>
      <c r="B32" s="14" t="n">
        <v>16</v>
      </c>
      <c r="C32" s="14" t="n">
        <v>3</v>
      </c>
      <c r="D32" s="14" t="s">
        <v>1337</v>
      </c>
      <c r="E32" s="14" t="s">
        <v>170</v>
      </c>
      <c r="F32" s="14" t="s">
        <v>1292</v>
      </c>
      <c r="G32" s="14" t="s">
        <v>2019</v>
      </c>
      <c r="H32" s="14"/>
      <c r="I32" s="14" t="s">
        <v>1339</v>
      </c>
    </row>
    <row r="33" customFormat="false" ht="15" hidden="false" customHeight="false" outlineLevel="0" collapsed="false">
      <c r="A33" s="14" t="s">
        <v>909</v>
      </c>
      <c r="B33" s="14" t="n">
        <v>16</v>
      </c>
      <c r="C33" s="14" t="n">
        <v>4</v>
      </c>
      <c r="D33" s="14" t="s">
        <v>1340</v>
      </c>
      <c r="E33" s="14" t="s">
        <v>170</v>
      </c>
      <c r="F33" s="14" t="s">
        <v>1306</v>
      </c>
      <c r="G33" s="14" t="s">
        <v>2020</v>
      </c>
      <c r="H33" s="14"/>
      <c r="I33" s="14" t="s">
        <v>1342</v>
      </c>
    </row>
    <row r="34" customFormat="false" ht="15" hidden="false" customHeight="false" outlineLevel="0" collapsed="false">
      <c r="A34" s="14" t="s">
        <v>909</v>
      </c>
      <c r="B34" s="14" t="n">
        <v>16</v>
      </c>
      <c r="C34" s="14" t="n">
        <v>1</v>
      </c>
      <c r="D34" s="14" t="s">
        <v>1343</v>
      </c>
      <c r="E34" s="15" t="s">
        <v>2021</v>
      </c>
      <c r="F34" s="14" t="s">
        <v>1306</v>
      </c>
      <c r="G34" s="14" t="s">
        <v>2022</v>
      </c>
      <c r="H34" s="14"/>
      <c r="I34" s="14" t="s">
        <v>1344</v>
      </c>
    </row>
    <row r="35" customFormat="false" ht="15" hidden="false" customHeight="false" outlineLevel="0" collapsed="false">
      <c r="A35" s="14" t="s">
        <v>909</v>
      </c>
      <c r="B35" s="14" t="n">
        <v>16</v>
      </c>
      <c r="C35" s="14" t="n">
        <v>2</v>
      </c>
      <c r="D35" s="14" t="s">
        <v>1345</v>
      </c>
      <c r="E35" s="15" t="s">
        <v>2021</v>
      </c>
      <c r="F35" s="14" t="s">
        <v>1292</v>
      </c>
      <c r="G35" s="14" t="s">
        <v>2023</v>
      </c>
      <c r="H35" s="14"/>
      <c r="I35" s="14" t="s">
        <v>1346</v>
      </c>
    </row>
    <row r="36" customFormat="false" ht="15" hidden="false" customHeight="false" outlineLevel="0" collapsed="false">
      <c r="A36" s="14" t="s">
        <v>909</v>
      </c>
      <c r="B36" s="14" t="n">
        <v>16</v>
      </c>
      <c r="C36" s="14" t="n">
        <v>3</v>
      </c>
      <c r="D36" s="14" t="s">
        <v>1347</v>
      </c>
      <c r="E36" s="15" t="s">
        <v>2021</v>
      </c>
      <c r="F36" s="14" t="s">
        <v>1647</v>
      </c>
      <c r="G36" s="14" t="s">
        <v>2005</v>
      </c>
      <c r="H36" s="14"/>
      <c r="I36" s="14" t="s">
        <v>1348</v>
      </c>
    </row>
    <row r="37" customFormat="false" ht="15" hidden="false" customHeight="false" outlineLevel="0" collapsed="false">
      <c r="A37" s="14" t="s">
        <v>909</v>
      </c>
      <c r="B37" s="14" t="n">
        <v>16</v>
      </c>
      <c r="C37" s="14" t="n">
        <v>4</v>
      </c>
      <c r="D37" s="14" t="s">
        <v>1349</v>
      </c>
      <c r="E37" s="15" t="s">
        <v>2021</v>
      </c>
      <c r="F37" s="14" t="s">
        <v>1292</v>
      </c>
      <c r="G37" s="14" t="s">
        <v>2024</v>
      </c>
      <c r="H37" s="14"/>
      <c r="I37" s="14" t="s">
        <v>1350</v>
      </c>
    </row>
    <row r="38" customFormat="false" ht="15" hidden="false" customHeight="false" outlineLevel="0" collapsed="false">
      <c r="A38" s="14" t="s">
        <v>914</v>
      </c>
      <c r="B38" s="14" t="n">
        <v>16</v>
      </c>
      <c r="C38" s="14" t="n">
        <v>2</v>
      </c>
      <c r="D38" s="14" t="s">
        <v>1331</v>
      </c>
      <c r="E38" s="14" t="s">
        <v>170</v>
      </c>
      <c r="F38" s="14" t="s">
        <v>1306</v>
      </c>
      <c r="G38" s="14" t="s">
        <v>2025</v>
      </c>
      <c r="H38" s="14"/>
      <c r="I38" s="14" t="s">
        <v>1351</v>
      </c>
    </row>
    <row r="39" customFormat="false" ht="15" hidden="false" customHeight="false" outlineLevel="0" collapsed="false">
      <c r="A39" s="14" t="s">
        <v>914</v>
      </c>
      <c r="B39" s="14" t="n">
        <v>16</v>
      </c>
      <c r="C39" s="14" t="n">
        <v>3</v>
      </c>
      <c r="D39" s="14" t="s">
        <v>1340</v>
      </c>
      <c r="E39" s="14" t="s">
        <v>170</v>
      </c>
      <c r="F39" s="14" t="s">
        <v>1335</v>
      </c>
      <c r="G39" s="14" t="s">
        <v>2026</v>
      </c>
      <c r="H39" s="14"/>
      <c r="I39" s="14" t="s">
        <v>1352</v>
      </c>
    </row>
    <row r="40" customFormat="false" ht="15" hidden="false" customHeight="false" outlineLevel="0" collapsed="false">
      <c r="A40" s="14" t="s">
        <v>914</v>
      </c>
      <c r="B40" s="14" t="n">
        <v>16</v>
      </c>
      <c r="C40" s="14" t="n">
        <v>1</v>
      </c>
      <c r="D40" s="14" t="s">
        <v>1353</v>
      </c>
      <c r="E40" s="15" t="s">
        <v>2021</v>
      </c>
      <c r="F40" s="14" t="s">
        <v>1306</v>
      </c>
      <c r="G40" s="14" t="s">
        <v>2027</v>
      </c>
      <c r="H40" s="7" t="s">
        <v>2028</v>
      </c>
      <c r="I40" s="14" t="s">
        <v>1354</v>
      </c>
    </row>
    <row r="41" customFormat="false" ht="15" hidden="false" customHeight="false" outlineLevel="0" collapsed="false">
      <c r="A41" s="14" t="s">
        <v>914</v>
      </c>
      <c r="B41" s="14" t="n">
        <v>16</v>
      </c>
      <c r="C41" s="14" t="n">
        <v>2</v>
      </c>
      <c r="D41" s="14" t="s">
        <v>1355</v>
      </c>
      <c r="E41" s="15" t="s">
        <v>2021</v>
      </c>
      <c r="F41" s="14" t="s">
        <v>1647</v>
      </c>
      <c r="G41" s="14" t="s">
        <v>2029</v>
      </c>
      <c r="H41" s="14"/>
      <c r="I41" s="14" t="s">
        <v>1356</v>
      </c>
    </row>
    <row r="42" customFormat="false" ht="15" hidden="false" customHeight="false" outlineLevel="0" collapsed="false">
      <c r="A42" s="14" t="s">
        <v>1357</v>
      </c>
      <c r="B42" s="14" t="n">
        <v>17</v>
      </c>
      <c r="C42" s="14" t="n">
        <v>1</v>
      </c>
      <c r="D42" s="14" t="s">
        <v>1358</v>
      </c>
      <c r="E42" s="14" t="s">
        <v>173</v>
      </c>
      <c r="F42" s="14" t="s">
        <v>1647</v>
      </c>
      <c r="G42" s="14" t="s">
        <v>2030</v>
      </c>
      <c r="H42" s="7" t="s">
        <v>2031</v>
      </c>
      <c r="I42" s="14" t="s">
        <v>1360</v>
      </c>
    </row>
    <row r="43" customFormat="false" ht="15" hidden="false" customHeight="false" outlineLevel="0" collapsed="false">
      <c r="A43" s="14" t="s">
        <v>1357</v>
      </c>
      <c r="B43" s="14" t="n">
        <v>17</v>
      </c>
      <c r="C43" s="14" t="n">
        <v>2</v>
      </c>
      <c r="D43" s="14" t="s">
        <v>1361</v>
      </c>
      <c r="E43" s="14" t="s">
        <v>173</v>
      </c>
      <c r="F43" s="14" t="s">
        <v>1292</v>
      </c>
      <c r="G43" s="14" t="s">
        <v>2001</v>
      </c>
      <c r="H43" s="14"/>
      <c r="I43" s="14" t="s">
        <v>1363</v>
      </c>
    </row>
    <row r="44" customFormat="false" ht="15" hidden="false" customHeight="false" outlineLevel="0" collapsed="false">
      <c r="A44" s="14" t="s">
        <v>1357</v>
      </c>
      <c r="B44" s="14" t="n">
        <v>17</v>
      </c>
      <c r="C44" s="14" t="n">
        <v>3</v>
      </c>
      <c r="D44" s="14" t="s">
        <v>1364</v>
      </c>
      <c r="E44" s="14" t="s">
        <v>173</v>
      </c>
      <c r="F44" s="14" t="s">
        <v>1306</v>
      </c>
      <c r="G44" s="14" t="s">
        <v>2032</v>
      </c>
      <c r="H44" s="14"/>
      <c r="I44" s="14" t="s">
        <v>1366</v>
      </c>
    </row>
    <row r="45" customFormat="false" ht="15" hidden="false" customHeight="false" outlineLevel="0" collapsed="false">
      <c r="A45" s="14" t="s">
        <v>1357</v>
      </c>
      <c r="B45" s="14" t="n">
        <v>17</v>
      </c>
      <c r="C45" s="14" t="n">
        <v>4</v>
      </c>
      <c r="D45" s="14" t="s">
        <v>1367</v>
      </c>
      <c r="E45" s="14" t="s">
        <v>173</v>
      </c>
      <c r="F45" s="14" t="s">
        <v>1292</v>
      </c>
      <c r="G45" s="14" t="s">
        <v>2001</v>
      </c>
      <c r="H45" s="14"/>
      <c r="I45" s="14" t="s">
        <v>1368</v>
      </c>
    </row>
    <row r="46" customFormat="false" ht="15" hidden="false" customHeight="false" outlineLevel="0" collapsed="false">
      <c r="A46" s="14" t="s">
        <v>1369</v>
      </c>
      <c r="B46" s="14" t="n">
        <v>25</v>
      </c>
      <c r="C46" s="14" t="n">
        <v>1</v>
      </c>
      <c r="D46" s="14" t="s">
        <v>1370</v>
      </c>
      <c r="E46" s="14" t="s">
        <v>256</v>
      </c>
      <c r="F46" s="14" t="s">
        <v>1389</v>
      </c>
      <c r="G46" s="14" t="s">
        <v>2008</v>
      </c>
      <c r="H46" s="14"/>
      <c r="I46" s="14" t="s">
        <v>1372</v>
      </c>
    </row>
    <row r="47" customFormat="false" ht="15" hidden="false" customHeight="false" outlineLevel="0" collapsed="false">
      <c r="A47" s="14" t="s">
        <v>1369</v>
      </c>
      <c r="B47" s="14" t="n">
        <v>25</v>
      </c>
      <c r="C47" s="14" t="n">
        <v>2</v>
      </c>
      <c r="D47" s="14" t="s">
        <v>1382</v>
      </c>
      <c r="E47" s="1" t="s">
        <v>251</v>
      </c>
      <c r="F47" s="14" t="s">
        <v>1383</v>
      </c>
      <c r="G47" s="14" t="s">
        <v>2033</v>
      </c>
      <c r="H47" s="14"/>
      <c r="I47" s="14" t="s">
        <v>1384</v>
      </c>
    </row>
    <row r="48" customFormat="false" ht="15" hidden="false" customHeight="false" outlineLevel="0" collapsed="false">
      <c r="A48" s="14" t="s">
        <v>1369</v>
      </c>
      <c r="B48" s="14" t="n">
        <v>25</v>
      </c>
      <c r="C48" s="14" t="n">
        <v>3</v>
      </c>
      <c r="D48" s="14" t="s">
        <v>1385</v>
      </c>
      <c r="E48" s="1" t="s">
        <v>251</v>
      </c>
      <c r="F48" s="14" t="s">
        <v>1386</v>
      </c>
      <c r="G48" s="14" t="s">
        <v>2034</v>
      </c>
      <c r="H48" s="14"/>
      <c r="I48" s="14" t="s">
        <v>1387</v>
      </c>
    </row>
    <row r="49" customFormat="false" ht="15" hidden="false" customHeight="false" outlineLevel="0" collapsed="false">
      <c r="A49" s="14" t="s">
        <v>1388</v>
      </c>
      <c r="B49" s="14" t="n">
        <v>25</v>
      </c>
      <c r="C49" s="14" t="n">
        <v>1</v>
      </c>
      <c r="D49" s="14" t="s">
        <v>1382</v>
      </c>
      <c r="E49" s="1" t="s">
        <v>251</v>
      </c>
      <c r="F49" s="14" t="s">
        <v>1383</v>
      </c>
      <c r="G49" s="14" t="s">
        <v>2033</v>
      </c>
      <c r="H49" s="14"/>
      <c r="I49" s="14" t="s">
        <v>1390</v>
      </c>
    </row>
    <row r="50" customFormat="false" ht="15" hidden="false" customHeight="false" outlineLevel="0" collapsed="false">
      <c r="A50" s="14" t="s">
        <v>1395</v>
      </c>
      <c r="B50" s="14" t="n">
        <v>29</v>
      </c>
      <c r="C50" s="14" t="n">
        <v>6</v>
      </c>
      <c r="D50" s="14" t="s">
        <v>1419</v>
      </c>
      <c r="E50" s="14"/>
      <c r="F50" s="14" t="s">
        <v>1420</v>
      </c>
      <c r="G50" s="14" t="s">
        <v>2001</v>
      </c>
      <c r="H50" s="14"/>
      <c r="I50" s="14" t="s">
        <v>1421</v>
      </c>
    </row>
    <row r="51" customFormat="false" ht="15" hidden="false" customHeight="false" outlineLevel="0" collapsed="false">
      <c r="A51" s="14" t="s">
        <v>1430</v>
      </c>
      <c r="B51" s="14" t="n">
        <v>30</v>
      </c>
      <c r="C51" s="14" t="n">
        <v>3</v>
      </c>
      <c r="D51" s="14" t="s">
        <v>1107</v>
      </c>
      <c r="E51" s="1" t="s">
        <v>104</v>
      </c>
      <c r="F51" s="14" t="s">
        <v>1435</v>
      </c>
      <c r="G51" s="14" t="s">
        <v>2035</v>
      </c>
      <c r="H51" s="14"/>
      <c r="I51" s="14" t="s">
        <v>1436</v>
      </c>
    </row>
    <row r="52" customFormat="false" ht="15" hidden="false" customHeight="false" outlineLevel="0" collapsed="false">
      <c r="A52" s="14" t="s">
        <v>1430</v>
      </c>
      <c r="B52" s="14" t="n">
        <v>30</v>
      </c>
      <c r="C52" s="14" t="n">
        <v>1</v>
      </c>
      <c r="D52" s="14" t="s">
        <v>1437</v>
      </c>
      <c r="E52" s="1" t="s">
        <v>176</v>
      </c>
      <c r="F52" s="14" t="s">
        <v>1647</v>
      </c>
      <c r="G52" s="14" t="s">
        <v>2005</v>
      </c>
      <c r="H52" s="14"/>
      <c r="I52" s="14" t="s">
        <v>1438</v>
      </c>
    </row>
    <row r="53" customFormat="false" ht="15" hidden="false" customHeight="false" outlineLevel="0" collapsed="false">
      <c r="A53" s="14" t="s">
        <v>1430</v>
      </c>
      <c r="B53" s="14" t="n">
        <v>30</v>
      </c>
      <c r="C53" s="14" t="n">
        <v>2</v>
      </c>
      <c r="D53" s="14" t="s">
        <v>1439</v>
      </c>
      <c r="E53" s="1" t="s">
        <v>176</v>
      </c>
      <c r="F53" s="14" t="s">
        <v>1306</v>
      </c>
      <c r="G53" s="14" t="s">
        <v>2036</v>
      </c>
      <c r="H53" s="14"/>
      <c r="I53" s="14" t="s">
        <v>1440</v>
      </c>
    </row>
    <row r="54" customFormat="false" ht="15" hidden="false" customHeight="false" outlineLevel="0" collapsed="false">
      <c r="A54" s="14" t="s">
        <v>1430</v>
      </c>
      <c r="B54" s="14" t="n">
        <v>30</v>
      </c>
      <c r="C54" s="14" t="n">
        <v>3</v>
      </c>
      <c r="D54" s="14" t="s">
        <v>1107</v>
      </c>
      <c r="E54" s="1" t="s">
        <v>176</v>
      </c>
      <c r="F54" s="14" t="s">
        <v>1335</v>
      </c>
      <c r="G54" s="14" t="s">
        <v>2008</v>
      </c>
      <c r="H54" s="14"/>
      <c r="I54" s="14" t="s">
        <v>1441</v>
      </c>
    </row>
    <row r="55" customFormat="false" ht="15" hidden="false" customHeight="false" outlineLevel="0" collapsed="false">
      <c r="A55" s="14" t="s">
        <v>1442</v>
      </c>
      <c r="B55" s="14" t="n">
        <v>31</v>
      </c>
      <c r="C55" s="14" t="n">
        <v>1</v>
      </c>
      <c r="D55" s="14" t="s">
        <v>1443</v>
      </c>
      <c r="E55" s="14" t="s">
        <v>296</v>
      </c>
      <c r="F55" s="14" t="s">
        <v>1647</v>
      </c>
      <c r="G55" s="14" t="s">
        <v>2037</v>
      </c>
      <c r="H55" s="14"/>
      <c r="I55" s="14" t="s">
        <v>1444</v>
      </c>
    </row>
    <row r="56" customFormat="false" ht="15" hidden="false" customHeight="false" outlineLevel="0" collapsed="false">
      <c r="A56" s="14" t="s">
        <v>1442</v>
      </c>
      <c r="B56" s="14" t="n">
        <v>31</v>
      </c>
      <c r="C56" s="14" t="n">
        <v>2</v>
      </c>
      <c r="D56" s="14" t="s">
        <v>1445</v>
      </c>
      <c r="E56" s="14" t="s">
        <v>296</v>
      </c>
      <c r="F56" s="14" t="s">
        <v>1292</v>
      </c>
      <c r="G56" s="14" t="s">
        <v>2008</v>
      </c>
      <c r="H56" s="14"/>
      <c r="I56" s="14" t="s">
        <v>1447</v>
      </c>
    </row>
    <row r="57" customFormat="false" ht="15" hidden="false" customHeight="false" outlineLevel="0" collapsed="false">
      <c r="A57" s="14" t="s">
        <v>1442</v>
      </c>
      <c r="B57" s="14" t="n">
        <v>31</v>
      </c>
      <c r="C57" s="14" t="n">
        <v>3</v>
      </c>
      <c r="D57" s="14" t="s">
        <v>1448</v>
      </c>
      <c r="E57" s="14" t="s">
        <v>296</v>
      </c>
      <c r="F57" s="14" t="s">
        <v>1306</v>
      </c>
      <c r="G57" s="14" t="s">
        <v>2008</v>
      </c>
      <c r="H57" s="14"/>
      <c r="I57" s="14" t="s">
        <v>1449</v>
      </c>
    </row>
    <row r="58" customFormat="false" ht="15" hidden="false" customHeight="false" outlineLevel="0" collapsed="false">
      <c r="A58" s="14" t="s">
        <v>1442</v>
      </c>
      <c r="B58" s="14" t="n">
        <v>31</v>
      </c>
      <c r="C58" s="14" t="n">
        <v>4</v>
      </c>
      <c r="D58" s="14" t="s">
        <v>1450</v>
      </c>
      <c r="E58" s="14" t="s">
        <v>296</v>
      </c>
      <c r="F58" s="14" t="s">
        <v>1292</v>
      </c>
      <c r="G58" s="14" t="s">
        <v>2008</v>
      </c>
      <c r="H58" s="14"/>
      <c r="I58" s="14" t="s">
        <v>1451</v>
      </c>
    </row>
    <row r="59" customFormat="false" ht="15" hidden="false" customHeight="false" outlineLevel="0" collapsed="false">
      <c r="A59" s="14" t="s">
        <v>1452</v>
      </c>
      <c r="B59" s="14" t="n">
        <v>31</v>
      </c>
      <c r="C59" s="14" t="n">
        <v>1</v>
      </c>
      <c r="D59" s="14" t="s">
        <v>1453</v>
      </c>
      <c r="E59" s="14" t="s">
        <v>296</v>
      </c>
      <c r="F59" s="14" t="s">
        <v>1292</v>
      </c>
      <c r="G59" s="14" t="s">
        <v>2008</v>
      </c>
      <c r="H59" s="14"/>
      <c r="I59" s="14" t="s">
        <v>1455</v>
      </c>
    </row>
    <row r="60" customFormat="false" ht="15" hidden="false" customHeight="false" outlineLevel="0" collapsed="false">
      <c r="A60" s="14" t="s">
        <v>1452</v>
      </c>
      <c r="B60" s="14" t="n">
        <v>31</v>
      </c>
      <c r="C60" s="14" t="n">
        <v>2</v>
      </c>
      <c r="D60" s="14" t="s">
        <v>1456</v>
      </c>
      <c r="E60" s="14" t="s">
        <v>296</v>
      </c>
      <c r="F60" s="14" t="s">
        <v>1647</v>
      </c>
      <c r="G60" s="14" t="s">
        <v>2008</v>
      </c>
      <c r="H60" s="14"/>
      <c r="I60" s="14" t="s">
        <v>1457</v>
      </c>
    </row>
    <row r="61" customFormat="false" ht="15" hidden="false" customHeight="false" outlineLevel="0" collapsed="false">
      <c r="A61" s="14" t="s">
        <v>1452</v>
      </c>
      <c r="B61" s="14" t="n">
        <v>31</v>
      </c>
      <c r="C61" s="14" t="n">
        <v>3</v>
      </c>
      <c r="D61" s="14" t="s">
        <v>1458</v>
      </c>
      <c r="E61" s="14" t="s">
        <v>296</v>
      </c>
      <c r="F61" s="14" t="s">
        <v>1306</v>
      </c>
      <c r="G61" s="14" t="s">
        <v>2038</v>
      </c>
      <c r="H61" s="14"/>
      <c r="I61" s="14" t="s">
        <v>1459</v>
      </c>
    </row>
    <row r="62" customFormat="false" ht="15" hidden="false" customHeight="false" outlineLevel="0" collapsed="false">
      <c r="A62" s="14" t="s">
        <v>1460</v>
      </c>
      <c r="B62" s="14" t="n">
        <v>39</v>
      </c>
      <c r="C62" s="14" t="n">
        <v>1</v>
      </c>
      <c r="D62" s="14" t="s">
        <v>1461</v>
      </c>
      <c r="E62" s="14" t="s">
        <v>342</v>
      </c>
      <c r="F62" s="14" t="s">
        <v>1647</v>
      </c>
      <c r="G62" s="14" t="s">
        <v>2005</v>
      </c>
      <c r="H62" s="14"/>
      <c r="I62" s="14" t="s">
        <v>1462</v>
      </c>
    </row>
    <row r="63" customFormat="false" ht="15" hidden="false" customHeight="false" outlineLevel="0" collapsed="false">
      <c r="A63" s="14" t="s">
        <v>1460</v>
      </c>
      <c r="B63" s="14" t="n">
        <v>39</v>
      </c>
      <c r="C63" s="14" t="n">
        <v>2</v>
      </c>
      <c r="D63" s="14" t="s">
        <v>1463</v>
      </c>
      <c r="E63" s="14" t="s">
        <v>342</v>
      </c>
      <c r="F63" s="14" t="s">
        <v>1292</v>
      </c>
      <c r="G63" s="14" t="s">
        <v>2039</v>
      </c>
      <c r="H63" s="14"/>
      <c r="I63" s="14" t="s">
        <v>1464</v>
      </c>
    </row>
    <row r="64" customFormat="false" ht="15" hidden="false" customHeight="false" outlineLevel="0" collapsed="false">
      <c r="A64" s="14" t="s">
        <v>1460</v>
      </c>
      <c r="B64" s="14" t="n">
        <v>39</v>
      </c>
      <c r="C64" s="14" t="n">
        <v>3</v>
      </c>
      <c r="D64" s="14" t="s">
        <v>1465</v>
      </c>
      <c r="E64" s="14" t="s">
        <v>342</v>
      </c>
      <c r="F64" s="14" t="s">
        <v>1647</v>
      </c>
      <c r="G64" s="14" t="s">
        <v>2005</v>
      </c>
      <c r="H64" s="14"/>
      <c r="I64" s="14" t="s">
        <v>1466</v>
      </c>
    </row>
    <row r="65" customFormat="false" ht="15" hidden="false" customHeight="false" outlineLevel="0" collapsed="false">
      <c r="A65" s="14" t="s">
        <v>1460</v>
      </c>
      <c r="B65" s="14" t="n">
        <v>39</v>
      </c>
      <c r="C65" s="14" t="n">
        <v>4</v>
      </c>
      <c r="D65" s="14" t="s">
        <v>1467</v>
      </c>
      <c r="E65" s="14" t="s">
        <v>342</v>
      </c>
      <c r="F65" s="14" t="s">
        <v>1306</v>
      </c>
      <c r="G65" s="14" t="s">
        <v>2001</v>
      </c>
      <c r="H65" s="14"/>
      <c r="I65" s="14" t="s">
        <v>1469</v>
      </c>
    </row>
    <row r="66" customFormat="false" ht="15" hidden="false" customHeight="false" outlineLevel="0" collapsed="false">
      <c r="A66" s="14" t="s">
        <v>1473</v>
      </c>
      <c r="B66" s="14" t="n">
        <v>39</v>
      </c>
      <c r="C66" s="14" t="n">
        <v>3</v>
      </c>
      <c r="D66" s="14" t="s">
        <v>1461</v>
      </c>
      <c r="E66" s="14" t="s">
        <v>342</v>
      </c>
      <c r="F66" s="14" t="s">
        <v>1389</v>
      </c>
      <c r="G66" s="14" t="s">
        <v>2008</v>
      </c>
      <c r="H66" s="14"/>
      <c r="I66" s="14" t="s">
        <v>1478</v>
      </c>
    </row>
    <row r="67" customFormat="false" ht="15" hidden="false" customHeight="false" outlineLevel="0" collapsed="false">
      <c r="A67" s="14" t="s">
        <v>1488</v>
      </c>
      <c r="B67" s="14" t="n">
        <v>44</v>
      </c>
      <c r="C67" s="14" t="n">
        <v>3</v>
      </c>
      <c r="D67" s="14" t="s">
        <v>1495</v>
      </c>
      <c r="E67" s="1" t="s">
        <v>383</v>
      </c>
      <c r="F67" s="14" t="s">
        <v>1496</v>
      </c>
      <c r="G67" s="14" t="s">
        <v>2001</v>
      </c>
      <c r="H67" s="14"/>
      <c r="I67" s="14" t="s">
        <v>1497</v>
      </c>
    </row>
    <row r="68" customFormat="false" ht="15" hidden="false" customHeight="false" outlineLevel="0" collapsed="false">
      <c r="A68" s="14" t="s">
        <v>1498</v>
      </c>
      <c r="B68" s="14" t="n">
        <v>44</v>
      </c>
      <c r="C68" s="14" t="n">
        <v>2</v>
      </c>
      <c r="D68" s="14" t="s">
        <v>1499</v>
      </c>
      <c r="E68" s="1" t="s">
        <v>383</v>
      </c>
      <c r="F68" s="14" t="s">
        <v>1306</v>
      </c>
      <c r="G68" s="14" t="s">
        <v>2001</v>
      </c>
      <c r="H68" s="14"/>
      <c r="I68" s="14" t="s">
        <v>1501</v>
      </c>
    </row>
    <row r="69" customFormat="false" ht="15" hidden="false" customHeight="false" outlineLevel="0" collapsed="false">
      <c r="A69" s="14" t="s">
        <v>1502</v>
      </c>
      <c r="B69" s="14" t="n">
        <v>45</v>
      </c>
      <c r="C69" s="14" t="n">
        <v>1</v>
      </c>
      <c r="D69" s="14" t="s">
        <v>1503</v>
      </c>
      <c r="E69" s="1" t="s">
        <v>389</v>
      </c>
      <c r="F69" s="14" t="s">
        <v>1306</v>
      </c>
      <c r="G69" s="14" t="s">
        <v>5</v>
      </c>
      <c r="H69" s="7" t="s">
        <v>2040</v>
      </c>
      <c r="I69" s="14" t="s">
        <v>1505</v>
      </c>
    </row>
    <row r="70" customFormat="false" ht="15" hidden="false" customHeight="false" outlineLevel="0" collapsed="false">
      <c r="A70" s="14" t="s">
        <v>1502</v>
      </c>
      <c r="B70" s="14" t="n">
        <v>45</v>
      </c>
      <c r="C70" s="14" t="n">
        <v>2</v>
      </c>
      <c r="D70" s="14" t="s">
        <v>1506</v>
      </c>
      <c r="E70" s="1" t="s">
        <v>389</v>
      </c>
      <c r="F70" s="14" t="s">
        <v>1647</v>
      </c>
      <c r="G70" s="14" t="s">
        <v>2005</v>
      </c>
      <c r="H70" s="14"/>
      <c r="I70" s="14" t="s">
        <v>2041</v>
      </c>
    </row>
    <row r="71" customFormat="false" ht="15" hidden="false" customHeight="false" outlineLevel="0" collapsed="false">
      <c r="A71" s="14" t="s">
        <v>1509</v>
      </c>
      <c r="B71" s="14" t="n">
        <v>45</v>
      </c>
      <c r="C71" s="14" t="n">
        <v>3</v>
      </c>
      <c r="D71" s="14" t="s">
        <v>1503</v>
      </c>
      <c r="E71" s="1" t="s">
        <v>389</v>
      </c>
      <c r="F71" s="14" t="s">
        <v>1515</v>
      </c>
      <c r="G71" s="14" t="s">
        <v>2001</v>
      </c>
      <c r="H71" s="14"/>
      <c r="I71" s="14" t="s">
        <v>1516</v>
      </c>
    </row>
    <row r="72" customFormat="false" ht="15" hidden="false" customHeight="false" outlineLevel="0" collapsed="false">
      <c r="A72" s="14" t="s">
        <v>1509</v>
      </c>
      <c r="B72" s="14" t="n">
        <v>45</v>
      </c>
      <c r="C72" s="14" t="n">
        <v>4</v>
      </c>
      <c r="D72" s="14" t="s">
        <v>1517</v>
      </c>
      <c r="E72" s="1" t="s">
        <v>389</v>
      </c>
      <c r="F72" s="14" t="s">
        <v>1518</v>
      </c>
      <c r="G72" s="14" t="s">
        <v>2001</v>
      </c>
      <c r="H72" s="14"/>
      <c r="I72" s="14" t="s">
        <v>1519</v>
      </c>
    </row>
    <row r="73" customFormat="false" ht="15" hidden="false" customHeight="false" outlineLevel="0" collapsed="false">
      <c r="A73" s="14" t="s">
        <v>1520</v>
      </c>
      <c r="B73" s="14" t="n">
        <v>47</v>
      </c>
      <c r="C73" s="14" t="n">
        <v>1</v>
      </c>
      <c r="D73" s="14" t="s">
        <v>1521</v>
      </c>
      <c r="E73" s="1" t="s">
        <v>392</v>
      </c>
      <c r="F73" s="14" t="s">
        <v>1522</v>
      </c>
      <c r="G73" s="14" t="s">
        <v>2005</v>
      </c>
      <c r="H73" s="14"/>
      <c r="I73" s="14" t="s">
        <v>1523</v>
      </c>
    </row>
    <row r="74" customFormat="false" ht="15" hidden="false" customHeight="false" outlineLevel="0" collapsed="false">
      <c r="A74" s="14" t="s">
        <v>1520</v>
      </c>
      <c r="B74" s="14" t="n">
        <v>47</v>
      </c>
      <c r="C74" s="14" t="n">
        <v>2</v>
      </c>
      <c r="D74" s="14" t="s">
        <v>1524</v>
      </c>
      <c r="E74" s="14"/>
      <c r="F74" s="14" t="s">
        <v>1522</v>
      </c>
      <c r="G74" s="14" t="s">
        <v>2005</v>
      </c>
      <c r="H74" s="14"/>
      <c r="I74" s="14" t="s">
        <v>1525</v>
      </c>
    </row>
    <row r="75" customFormat="false" ht="15" hidden="false" customHeight="false" outlineLevel="0" collapsed="false">
      <c r="A75" s="14" t="s">
        <v>1520</v>
      </c>
      <c r="B75" s="14" t="n">
        <v>47</v>
      </c>
      <c r="C75" s="14" t="n">
        <v>3</v>
      </c>
      <c r="D75" s="14" t="s">
        <v>1526</v>
      </c>
      <c r="E75" s="14"/>
      <c r="F75" s="14" t="s">
        <v>1647</v>
      </c>
      <c r="G75" s="14" t="s">
        <v>2042</v>
      </c>
      <c r="H75" s="14"/>
      <c r="I75" s="14" t="s">
        <v>1527</v>
      </c>
    </row>
    <row r="76" customFormat="false" ht="15" hidden="false" customHeight="false" outlineLevel="0" collapsed="false">
      <c r="A76" s="14" t="s">
        <v>1520</v>
      </c>
      <c r="B76" s="14" t="n">
        <v>47</v>
      </c>
      <c r="C76" s="14" t="n">
        <v>1</v>
      </c>
      <c r="D76" s="14" t="s">
        <v>1521</v>
      </c>
      <c r="E76" s="14"/>
      <c r="F76" s="14" t="s">
        <v>1522</v>
      </c>
      <c r="G76" s="14" t="s">
        <v>1126</v>
      </c>
      <c r="H76" s="7" t="s">
        <v>2043</v>
      </c>
      <c r="I76" s="14" t="s">
        <v>1532</v>
      </c>
    </row>
    <row r="77" customFormat="false" ht="15" hidden="false" customHeight="false" outlineLevel="0" collapsed="false">
      <c r="A77" s="14" t="s">
        <v>1520</v>
      </c>
      <c r="B77" s="14" t="n">
        <v>47</v>
      </c>
      <c r="C77" s="14" t="n">
        <v>2</v>
      </c>
      <c r="D77" s="14" t="s">
        <v>1524</v>
      </c>
      <c r="E77" s="14"/>
      <c r="F77" s="14" t="s">
        <v>1522</v>
      </c>
      <c r="G77" s="14" t="s">
        <v>1126</v>
      </c>
      <c r="H77" s="7" t="s">
        <v>2043</v>
      </c>
      <c r="I77" s="14" t="s">
        <v>1533</v>
      </c>
    </row>
    <row r="78" customFormat="false" ht="15" hidden="false" customHeight="false" outlineLevel="0" collapsed="false">
      <c r="A78" s="14" t="s">
        <v>1520</v>
      </c>
      <c r="B78" s="14" t="n">
        <v>47</v>
      </c>
      <c r="C78" s="14" t="n">
        <v>6</v>
      </c>
      <c r="D78" s="14" t="s">
        <v>1534</v>
      </c>
      <c r="E78" s="14"/>
      <c r="F78" s="14" t="s">
        <v>1535</v>
      </c>
      <c r="G78" s="14" t="s">
        <v>1126</v>
      </c>
      <c r="H78" s="7" t="s">
        <v>2043</v>
      </c>
      <c r="I78" s="14" t="s">
        <v>1536</v>
      </c>
    </row>
    <row r="79" customFormat="false" ht="15" hidden="false" customHeight="false" outlineLevel="0" collapsed="false">
      <c r="A79" s="14" t="s">
        <v>1537</v>
      </c>
      <c r="B79" s="14" t="n">
        <v>47</v>
      </c>
      <c r="C79" s="14" t="n">
        <v>5</v>
      </c>
      <c r="D79" s="14" t="s">
        <v>1547</v>
      </c>
      <c r="E79" s="14"/>
      <c r="F79" s="14" t="s">
        <v>1647</v>
      </c>
      <c r="G79" s="14" t="s">
        <v>2001</v>
      </c>
      <c r="H79" s="14"/>
      <c r="I79" s="14" t="s">
        <v>1549</v>
      </c>
    </row>
    <row r="80" customFormat="false" ht="15" hidden="false" customHeight="false" outlineLevel="0" collapsed="false">
      <c r="A80" s="14" t="s">
        <v>1550</v>
      </c>
      <c r="B80" s="14" t="n">
        <v>47</v>
      </c>
      <c r="C80" s="14" t="n">
        <v>3</v>
      </c>
      <c r="D80" s="14" t="s">
        <v>1526</v>
      </c>
      <c r="E80" s="14"/>
      <c r="F80" s="14" t="s">
        <v>1555</v>
      </c>
      <c r="G80" s="14" t="s">
        <v>2001</v>
      </c>
      <c r="H80" s="14"/>
      <c r="I80" s="14" t="s">
        <v>1556</v>
      </c>
    </row>
    <row r="81" customFormat="false" ht="15" hidden="false" customHeight="false" outlineLevel="0" collapsed="false">
      <c r="A81" s="14" t="s">
        <v>1566</v>
      </c>
      <c r="B81" s="14" t="n">
        <v>49</v>
      </c>
      <c r="C81" s="14" t="n">
        <v>3</v>
      </c>
      <c r="D81" s="14" t="s">
        <v>1571</v>
      </c>
      <c r="E81" s="14" t="s">
        <v>402</v>
      </c>
      <c r="F81" s="14" t="s">
        <v>1572</v>
      </c>
      <c r="G81" s="14" t="s">
        <v>2005</v>
      </c>
      <c r="H81" s="14"/>
      <c r="I81" s="14" t="s">
        <v>1573</v>
      </c>
    </row>
    <row r="82" customFormat="false" ht="15" hidden="false" customHeight="false" outlineLevel="0" collapsed="false">
      <c r="A82" s="14" t="s">
        <v>1574</v>
      </c>
      <c r="B82" s="14" t="n">
        <v>49</v>
      </c>
      <c r="C82" s="14" t="n">
        <v>1</v>
      </c>
      <c r="D82" s="14" t="s">
        <v>1575</v>
      </c>
      <c r="E82" s="14" t="s">
        <v>2044</v>
      </c>
      <c r="F82" s="14" t="s">
        <v>1389</v>
      </c>
      <c r="G82" s="14" t="s">
        <v>2033</v>
      </c>
      <c r="H82" s="14"/>
      <c r="I82" s="14" t="s">
        <v>1576</v>
      </c>
    </row>
    <row r="83" customFormat="false" ht="15" hidden="false" customHeight="false" outlineLevel="0" collapsed="false">
      <c r="A83" s="14" t="s">
        <v>1574</v>
      </c>
      <c r="B83" s="14" t="n">
        <v>49</v>
      </c>
      <c r="C83" s="14" t="n">
        <v>3</v>
      </c>
      <c r="D83" s="14" t="s">
        <v>1579</v>
      </c>
      <c r="E83" s="14" t="s">
        <v>2045</v>
      </c>
      <c r="F83" s="14" t="s">
        <v>1580</v>
      </c>
      <c r="G83" s="14" t="s">
        <v>2005</v>
      </c>
      <c r="H83" s="14"/>
      <c r="I83" s="14" t="s">
        <v>1581</v>
      </c>
    </row>
    <row r="84" customFormat="false" ht="15" hidden="false" customHeight="false" outlineLevel="0" collapsed="false">
      <c r="A84" s="14" t="s">
        <v>1013</v>
      </c>
      <c r="B84" s="14" t="n">
        <v>52</v>
      </c>
      <c r="C84" s="14" t="n">
        <v>1</v>
      </c>
      <c r="D84" s="14" t="s">
        <v>1584</v>
      </c>
      <c r="E84" s="5" t="s">
        <v>438</v>
      </c>
      <c r="F84" s="14" t="s">
        <v>1647</v>
      </c>
      <c r="G84" s="14" t="s">
        <v>2033</v>
      </c>
      <c r="H84" s="14"/>
      <c r="I84" s="14" t="s">
        <v>2046</v>
      </c>
    </row>
    <row r="85" customFormat="false" ht="15" hidden="false" customHeight="false" outlineLevel="0" collapsed="false">
      <c r="A85" s="14" t="s">
        <v>1013</v>
      </c>
      <c r="B85" s="14" t="n">
        <v>52</v>
      </c>
      <c r="C85" s="14" t="n">
        <v>1</v>
      </c>
      <c r="D85" s="14" t="s">
        <v>1228</v>
      </c>
      <c r="E85" s="14" t="s">
        <v>448</v>
      </c>
      <c r="F85" s="14" t="s">
        <v>1588</v>
      </c>
      <c r="G85" s="14" t="s">
        <v>2047</v>
      </c>
      <c r="H85" s="14"/>
      <c r="I85" s="14" t="s">
        <v>1589</v>
      </c>
    </row>
    <row r="86" customFormat="false" ht="15" hidden="false" customHeight="false" outlineLevel="0" collapsed="false">
      <c r="A86" s="14" t="s">
        <v>1013</v>
      </c>
      <c r="B86" s="14" t="n">
        <v>52</v>
      </c>
      <c r="C86" s="14" t="n">
        <v>2</v>
      </c>
      <c r="D86" s="14" t="s">
        <v>1030</v>
      </c>
      <c r="E86" s="14" t="s">
        <v>448</v>
      </c>
      <c r="F86" s="14" t="s">
        <v>1590</v>
      </c>
      <c r="G86" s="14" t="s">
        <v>2006</v>
      </c>
      <c r="H86" s="14"/>
      <c r="I86" s="14" t="s">
        <v>1591</v>
      </c>
    </row>
    <row r="87" customFormat="false" ht="15" hidden="false" customHeight="false" outlineLevel="0" collapsed="false">
      <c r="A87" s="14" t="s">
        <v>1013</v>
      </c>
      <c r="B87" s="14" t="n">
        <v>52</v>
      </c>
      <c r="C87" s="14" t="n">
        <v>1</v>
      </c>
      <c r="D87" s="15" t="s">
        <v>2048</v>
      </c>
      <c r="E87" s="1" t="s">
        <v>428</v>
      </c>
      <c r="F87" s="14" t="s">
        <v>1647</v>
      </c>
      <c r="G87" s="14" t="s">
        <v>2049</v>
      </c>
      <c r="H87" s="14"/>
      <c r="I87" s="14" t="s">
        <v>1603</v>
      </c>
    </row>
    <row r="88" customFormat="false" ht="15" hidden="false" customHeight="false" outlineLevel="0" collapsed="false">
      <c r="A88" s="14" t="s">
        <v>1013</v>
      </c>
      <c r="B88" s="14" t="n">
        <v>52</v>
      </c>
      <c r="C88" s="14" t="n">
        <v>2</v>
      </c>
      <c r="D88" s="15" t="s">
        <v>2050</v>
      </c>
      <c r="E88" s="1" t="s">
        <v>428</v>
      </c>
      <c r="F88" s="14" t="s">
        <v>1306</v>
      </c>
      <c r="G88" s="14" t="s">
        <v>2051</v>
      </c>
      <c r="H88" s="14"/>
      <c r="I88" s="14" t="s">
        <v>1605</v>
      </c>
    </row>
    <row r="89" customFormat="false" ht="15" hidden="false" customHeight="false" outlineLevel="0" collapsed="false">
      <c r="A89" s="14" t="s">
        <v>1013</v>
      </c>
      <c r="B89" s="14" t="n">
        <v>52</v>
      </c>
      <c r="C89" s="14" t="n">
        <v>3</v>
      </c>
      <c r="D89" s="15" t="s">
        <v>2052</v>
      </c>
      <c r="E89" s="1" t="s">
        <v>428</v>
      </c>
      <c r="F89" s="14" t="s">
        <v>1292</v>
      </c>
      <c r="G89" s="14" t="s">
        <v>2008</v>
      </c>
      <c r="H89" s="14"/>
      <c r="I89" s="14" t="s">
        <v>1608</v>
      </c>
    </row>
    <row r="90" customFormat="false" ht="15" hidden="false" customHeight="false" outlineLevel="0" collapsed="false">
      <c r="A90" s="14" t="s">
        <v>1016</v>
      </c>
      <c r="B90" s="14" t="n">
        <v>52</v>
      </c>
      <c r="C90" s="14" t="n">
        <v>4</v>
      </c>
      <c r="D90" s="14" t="s">
        <v>970</v>
      </c>
      <c r="E90" s="5" t="s">
        <v>466</v>
      </c>
      <c r="F90" s="14" t="s">
        <v>1306</v>
      </c>
      <c r="G90" s="14" t="s">
        <v>2053</v>
      </c>
      <c r="H90" s="14"/>
      <c r="I90" s="14" t="s">
        <v>1616</v>
      </c>
    </row>
    <row r="91" customFormat="false" ht="15" hidden="false" customHeight="false" outlineLevel="0" collapsed="false">
      <c r="A91" s="14" t="s">
        <v>1016</v>
      </c>
      <c r="B91" s="14" t="n">
        <v>52</v>
      </c>
      <c r="C91" s="14" t="n">
        <v>5</v>
      </c>
      <c r="D91" s="14" t="s">
        <v>1617</v>
      </c>
      <c r="E91" s="14" t="s">
        <v>466</v>
      </c>
      <c r="F91" s="14" t="s">
        <v>1306</v>
      </c>
      <c r="G91" s="14" t="s">
        <v>2054</v>
      </c>
      <c r="H91" s="7" t="s">
        <v>2055</v>
      </c>
      <c r="I91" s="14" t="s">
        <v>1618</v>
      </c>
    </row>
    <row r="92" customFormat="false" ht="15" hidden="false" customHeight="false" outlineLevel="0" collapsed="false">
      <c r="A92" s="14" t="s">
        <v>1016</v>
      </c>
      <c r="B92" s="14" t="n">
        <v>52</v>
      </c>
      <c r="C92" s="14" t="n">
        <v>6</v>
      </c>
      <c r="D92" s="14" t="s">
        <v>1056</v>
      </c>
      <c r="E92" s="14" t="s">
        <v>466</v>
      </c>
      <c r="F92" s="14" t="s">
        <v>1619</v>
      </c>
      <c r="G92" s="14" t="s">
        <v>2056</v>
      </c>
      <c r="H92" s="14"/>
      <c r="I92" s="14" t="s">
        <v>1620</v>
      </c>
    </row>
    <row r="93" customFormat="false" ht="15" hidden="false" customHeight="false" outlineLevel="0" collapsed="false">
      <c r="A93" s="14" t="s">
        <v>1016</v>
      </c>
      <c r="B93" s="14" t="n">
        <v>52</v>
      </c>
      <c r="C93" s="14" t="n">
        <v>1</v>
      </c>
      <c r="D93" s="14" t="s">
        <v>1022</v>
      </c>
      <c r="E93" s="1" t="s">
        <v>420</v>
      </c>
      <c r="F93" s="14" t="s">
        <v>1621</v>
      </c>
      <c r="G93" s="14" t="s">
        <v>2056</v>
      </c>
      <c r="H93" s="14"/>
      <c r="I93" s="14" t="s">
        <v>1622</v>
      </c>
    </row>
    <row r="94" customFormat="false" ht="15" hidden="false" customHeight="false" outlineLevel="0" collapsed="false">
      <c r="A94" s="14" t="s">
        <v>1016</v>
      </c>
      <c r="B94" s="14" t="n">
        <v>52</v>
      </c>
      <c r="C94" s="14" t="n">
        <v>2</v>
      </c>
      <c r="D94" s="14" t="s">
        <v>1600</v>
      </c>
      <c r="E94" s="1" t="s">
        <v>420</v>
      </c>
      <c r="F94" s="14" t="s">
        <v>1621</v>
      </c>
      <c r="G94" s="14" t="s">
        <v>2056</v>
      </c>
      <c r="H94" s="14"/>
      <c r="I94" s="14" t="s">
        <v>1623</v>
      </c>
    </row>
    <row r="95" customFormat="false" ht="15" hidden="false" customHeight="false" outlineLevel="0" collapsed="false">
      <c r="A95" s="14" t="s">
        <v>1016</v>
      </c>
      <c r="B95" s="14" t="n">
        <v>52</v>
      </c>
      <c r="C95" s="14" t="n">
        <v>3</v>
      </c>
      <c r="D95" s="14" t="s">
        <v>928</v>
      </c>
      <c r="E95" s="1" t="s">
        <v>420</v>
      </c>
      <c r="F95" s="14" t="s">
        <v>1621</v>
      </c>
      <c r="G95" s="14" t="s">
        <v>2056</v>
      </c>
      <c r="H95" s="14"/>
      <c r="I95" s="14" t="s">
        <v>1624</v>
      </c>
    </row>
    <row r="96" customFormat="false" ht="15" hidden="false" customHeight="false" outlineLevel="0" collapsed="false">
      <c r="A96" s="14" t="s">
        <v>1016</v>
      </c>
      <c r="B96" s="14" t="n">
        <v>52</v>
      </c>
      <c r="C96" s="14" t="n">
        <v>4</v>
      </c>
      <c r="D96" s="14" t="s">
        <v>1020</v>
      </c>
      <c r="E96" s="1" t="s">
        <v>420</v>
      </c>
      <c r="F96" s="14" t="s">
        <v>1621</v>
      </c>
      <c r="G96" s="14" t="s">
        <v>2056</v>
      </c>
      <c r="H96" s="14"/>
      <c r="I96" s="14" t="s">
        <v>1625</v>
      </c>
    </row>
    <row r="97" customFormat="false" ht="15" hidden="false" customHeight="false" outlineLevel="0" collapsed="false">
      <c r="A97" s="14" t="s">
        <v>1016</v>
      </c>
      <c r="B97" s="14" t="n">
        <v>52</v>
      </c>
      <c r="C97" s="14" t="n">
        <v>5</v>
      </c>
      <c r="D97" s="14" t="s">
        <v>1058</v>
      </c>
      <c r="E97" s="1" t="s">
        <v>420</v>
      </c>
      <c r="F97" s="14" t="s">
        <v>1292</v>
      </c>
      <c r="G97" s="14" t="s">
        <v>2057</v>
      </c>
      <c r="H97" s="14"/>
      <c r="I97" s="14" t="s">
        <v>1627</v>
      </c>
    </row>
    <row r="98" customFormat="false" ht="15" hidden="false" customHeight="false" outlineLevel="0" collapsed="false">
      <c r="A98" s="14" t="s">
        <v>1029</v>
      </c>
      <c r="B98" s="14" t="n">
        <v>52</v>
      </c>
      <c r="C98" s="14" t="n">
        <v>6</v>
      </c>
      <c r="D98" s="14" t="s">
        <v>1643</v>
      </c>
      <c r="E98" s="5" t="s">
        <v>438</v>
      </c>
      <c r="F98" s="14" t="s">
        <v>1644</v>
      </c>
      <c r="G98" s="14" t="s">
        <v>2033</v>
      </c>
      <c r="H98" s="14"/>
      <c r="I98" s="14" t="s">
        <v>1645</v>
      </c>
    </row>
    <row r="99" customFormat="false" ht="15" hidden="false" customHeight="false" outlineLevel="0" collapsed="false">
      <c r="A99" s="14" t="s">
        <v>1029</v>
      </c>
      <c r="B99" s="14" t="n">
        <v>52</v>
      </c>
      <c r="C99" s="14" t="n">
        <v>7</v>
      </c>
      <c r="D99" s="14" t="s">
        <v>1646</v>
      </c>
      <c r="E99" s="1" t="s">
        <v>438</v>
      </c>
      <c r="F99" s="14" t="s">
        <v>1647</v>
      </c>
      <c r="G99" s="14" t="s">
        <v>2008</v>
      </c>
      <c r="H99" s="14"/>
      <c r="I99" s="14" t="s">
        <v>1648</v>
      </c>
    </row>
    <row r="100" customFormat="false" ht="15" hidden="false" customHeight="false" outlineLevel="0" collapsed="false">
      <c r="A100" s="14" t="s">
        <v>1029</v>
      </c>
      <c r="B100" s="14" t="n">
        <v>52</v>
      </c>
      <c r="C100" s="14" t="n">
        <v>1</v>
      </c>
      <c r="D100" s="14" t="s">
        <v>1228</v>
      </c>
      <c r="E100" s="14" t="s">
        <v>448</v>
      </c>
      <c r="F100" s="14" t="s">
        <v>1588</v>
      </c>
      <c r="G100" s="14" t="s">
        <v>2047</v>
      </c>
      <c r="H100" s="14"/>
      <c r="I100" s="14" t="s">
        <v>1650</v>
      </c>
    </row>
    <row r="101" customFormat="false" ht="15" hidden="false" customHeight="false" outlineLevel="0" collapsed="false">
      <c r="A101" s="14" t="s">
        <v>1029</v>
      </c>
      <c r="B101" s="14" t="n">
        <v>52</v>
      </c>
      <c r="C101" s="14" t="n">
        <v>2</v>
      </c>
      <c r="D101" s="14" t="s">
        <v>1096</v>
      </c>
      <c r="E101" s="14" t="s">
        <v>448</v>
      </c>
      <c r="F101" s="14" t="s">
        <v>1651</v>
      </c>
      <c r="G101" s="14" t="s">
        <v>2001</v>
      </c>
      <c r="H101" s="14"/>
      <c r="I101" s="14" t="s">
        <v>1652</v>
      </c>
    </row>
    <row r="102" customFormat="false" ht="15" hidden="false" customHeight="false" outlineLevel="0" collapsed="false">
      <c r="A102" s="14" t="s">
        <v>1666</v>
      </c>
      <c r="B102" s="14" t="n">
        <v>58</v>
      </c>
      <c r="C102" s="14" t="n">
        <v>2</v>
      </c>
      <c r="D102" s="14" t="s">
        <v>1107</v>
      </c>
      <c r="E102" s="14" t="s">
        <v>2058</v>
      </c>
      <c r="F102" s="14" t="s">
        <v>1647</v>
      </c>
      <c r="G102" s="14" t="s">
        <v>2059</v>
      </c>
      <c r="H102" s="14"/>
      <c r="I102" s="14" t="s">
        <v>1668</v>
      </c>
    </row>
    <row r="103" customFormat="false" ht="15" hidden="false" customHeight="false" outlineLevel="0" collapsed="false">
      <c r="A103" s="14" t="s">
        <v>1666</v>
      </c>
      <c r="B103" s="14" t="n">
        <v>58</v>
      </c>
      <c r="C103" s="14" t="n">
        <v>3</v>
      </c>
      <c r="D103" s="14" t="s">
        <v>1669</v>
      </c>
      <c r="E103" s="15" t="s">
        <v>522</v>
      </c>
      <c r="F103" s="14" t="s">
        <v>1292</v>
      </c>
      <c r="G103" s="14" t="s">
        <v>2060</v>
      </c>
      <c r="H103" s="7" t="s">
        <v>2061</v>
      </c>
      <c r="I103" s="14" t="s">
        <v>1671</v>
      </c>
    </row>
    <row r="104" customFormat="false" ht="15" hidden="false" customHeight="false" outlineLevel="0" collapsed="false">
      <c r="A104" s="14" t="s">
        <v>1672</v>
      </c>
      <c r="B104" s="14" t="n">
        <v>59</v>
      </c>
      <c r="C104" s="14" t="n">
        <v>2</v>
      </c>
      <c r="D104" s="15" t="s">
        <v>1705</v>
      </c>
      <c r="E104" s="1" t="s">
        <v>537</v>
      </c>
      <c r="F104" s="14" t="s">
        <v>1647</v>
      </c>
      <c r="G104" s="14" t="s">
        <v>2037</v>
      </c>
      <c r="H104" s="14"/>
      <c r="I104" s="14" t="s">
        <v>2062</v>
      </c>
    </row>
    <row r="105" customFormat="false" ht="15" hidden="false" customHeight="false" outlineLevel="0" collapsed="false">
      <c r="A105" s="14" t="s">
        <v>1672</v>
      </c>
      <c r="B105" s="14" t="n">
        <v>59</v>
      </c>
      <c r="C105" s="14" t="n">
        <v>3</v>
      </c>
      <c r="D105" s="15" t="s">
        <v>1709</v>
      </c>
      <c r="E105" s="1" t="s">
        <v>537</v>
      </c>
      <c r="F105" s="14" t="s">
        <v>1292</v>
      </c>
      <c r="G105" s="14" t="s">
        <v>2008</v>
      </c>
      <c r="H105" s="14"/>
      <c r="I105" s="14" t="s">
        <v>1690</v>
      </c>
    </row>
    <row r="106" customFormat="false" ht="15" hidden="false" customHeight="false" outlineLevel="0" collapsed="false">
      <c r="A106" s="14" t="s">
        <v>1672</v>
      </c>
      <c r="B106" s="14" t="n">
        <v>59</v>
      </c>
      <c r="C106" s="14" t="n">
        <v>4</v>
      </c>
      <c r="D106" s="15" t="s">
        <v>1707</v>
      </c>
      <c r="E106" s="1" t="s">
        <v>537</v>
      </c>
      <c r="F106" s="14" t="s">
        <v>1647</v>
      </c>
      <c r="G106" s="14" t="s">
        <v>2008</v>
      </c>
      <c r="H106" s="14"/>
      <c r="I106" s="14" t="s">
        <v>1692</v>
      </c>
    </row>
    <row r="107" customFormat="false" ht="15" hidden="false" customHeight="false" outlineLevel="0" collapsed="false">
      <c r="A107" s="14" t="s">
        <v>1693</v>
      </c>
      <c r="B107" s="14" t="n">
        <v>59</v>
      </c>
      <c r="C107" s="14" t="n">
        <v>1</v>
      </c>
      <c r="D107" s="14" t="s">
        <v>1694</v>
      </c>
      <c r="E107" s="14" t="s">
        <v>534</v>
      </c>
      <c r="F107" s="14" t="s">
        <v>1389</v>
      </c>
      <c r="G107" s="14" t="s">
        <v>2033</v>
      </c>
      <c r="H107" s="14"/>
      <c r="I107" s="14" t="s">
        <v>1695</v>
      </c>
    </row>
    <row r="108" customFormat="false" ht="15" hidden="false" customHeight="false" outlineLevel="0" collapsed="false">
      <c r="A108" s="14" t="s">
        <v>1693</v>
      </c>
      <c r="B108" s="14" t="n">
        <v>59</v>
      </c>
      <c r="C108" s="14" t="n">
        <v>1</v>
      </c>
      <c r="D108" s="14" t="s">
        <v>1705</v>
      </c>
      <c r="E108" s="1" t="s">
        <v>537</v>
      </c>
      <c r="F108" s="14" t="s">
        <v>1306</v>
      </c>
      <c r="G108" s="14" t="s">
        <v>2063</v>
      </c>
      <c r="H108" s="14"/>
      <c r="I108" s="14" t="s">
        <v>1706</v>
      </c>
    </row>
    <row r="109" customFormat="false" ht="15" hidden="false" customHeight="false" outlineLevel="0" collapsed="false">
      <c r="A109" s="14" t="s">
        <v>1693</v>
      </c>
      <c r="B109" s="14" t="n">
        <v>59</v>
      </c>
      <c r="C109" s="14" t="n">
        <v>2</v>
      </c>
      <c r="D109" s="14" t="s">
        <v>1707</v>
      </c>
      <c r="E109" s="1" t="s">
        <v>537</v>
      </c>
      <c r="F109" s="14" t="s">
        <v>1647</v>
      </c>
      <c r="G109" s="14" t="s">
        <v>2064</v>
      </c>
      <c r="H109" s="14"/>
      <c r="I109" s="14" t="s">
        <v>1708</v>
      </c>
    </row>
    <row r="110" customFormat="false" ht="15" hidden="false" customHeight="false" outlineLevel="0" collapsed="false">
      <c r="A110" s="14" t="s">
        <v>1693</v>
      </c>
      <c r="B110" s="14" t="n">
        <v>59</v>
      </c>
      <c r="C110" s="14" t="n">
        <v>3</v>
      </c>
      <c r="D110" s="14" t="s">
        <v>1709</v>
      </c>
      <c r="E110" s="1" t="s">
        <v>537</v>
      </c>
      <c r="F110" s="14" t="s">
        <v>1647</v>
      </c>
      <c r="G110" s="14" t="s">
        <v>2064</v>
      </c>
      <c r="H110" s="14"/>
      <c r="I110" s="14" t="s">
        <v>1710</v>
      </c>
    </row>
    <row r="111" customFormat="false" ht="15" hidden="false" customHeight="false" outlineLevel="0" collapsed="false">
      <c r="A111" s="14" t="s">
        <v>1693</v>
      </c>
      <c r="B111" s="14" t="n">
        <v>59</v>
      </c>
      <c r="C111" s="14" t="n">
        <v>4</v>
      </c>
      <c r="D111" s="14" t="s">
        <v>1711</v>
      </c>
      <c r="E111" s="1" t="s">
        <v>537</v>
      </c>
      <c r="F111" s="14" t="s">
        <v>1292</v>
      </c>
      <c r="G111" s="14" t="s">
        <v>2006</v>
      </c>
      <c r="H111" s="14"/>
      <c r="I111" s="14" t="s">
        <v>1712</v>
      </c>
    </row>
    <row r="112" customFormat="false" ht="15" hidden="false" customHeight="false" outlineLevel="0" collapsed="false">
      <c r="A112" s="14" t="s">
        <v>1693</v>
      </c>
      <c r="B112" s="14" t="n">
        <v>59</v>
      </c>
      <c r="C112" s="14" t="n">
        <v>5</v>
      </c>
      <c r="D112" s="14" t="s">
        <v>1713</v>
      </c>
      <c r="E112" s="1" t="s">
        <v>537</v>
      </c>
      <c r="F112" s="14" t="s">
        <v>1647</v>
      </c>
      <c r="G112" s="14" t="s">
        <v>2008</v>
      </c>
      <c r="H112" s="14"/>
      <c r="I112" s="14" t="s">
        <v>1714</v>
      </c>
    </row>
    <row r="113" customFormat="false" ht="15" hidden="false" customHeight="false" outlineLevel="0" collapsed="false">
      <c r="A113" s="14" t="s">
        <v>1715</v>
      </c>
      <c r="B113" s="14" t="n">
        <v>59</v>
      </c>
      <c r="C113" s="14" t="n">
        <v>1</v>
      </c>
      <c r="D113" s="15" t="s">
        <v>1675</v>
      </c>
      <c r="E113" s="14" t="s">
        <v>534</v>
      </c>
      <c r="F113" s="14" t="s">
        <v>1647</v>
      </c>
      <c r="G113" s="14" t="s">
        <v>2033</v>
      </c>
      <c r="H113" s="14"/>
      <c r="I113" s="14" t="s">
        <v>1723</v>
      </c>
    </row>
    <row r="114" customFormat="false" ht="15" hidden="false" customHeight="false" outlineLevel="0" collapsed="false">
      <c r="A114" s="14" t="s">
        <v>1715</v>
      </c>
      <c r="B114" s="14" t="n">
        <v>59</v>
      </c>
      <c r="C114" s="14" t="n">
        <v>2</v>
      </c>
      <c r="D114" s="15" t="s">
        <v>2065</v>
      </c>
      <c r="E114" s="14" t="s">
        <v>534</v>
      </c>
      <c r="F114" s="14" t="s">
        <v>1292</v>
      </c>
      <c r="G114" s="14" t="s">
        <v>2008</v>
      </c>
      <c r="H114" s="14"/>
      <c r="I114" s="14" t="s">
        <v>1726</v>
      </c>
    </row>
    <row r="115" customFormat="false" ht="15" hidden="false" customHeight="false" outlineLevel="0" collapsed="false">
      <c r="A115" s="14" t="s">
        <v>1730</v>
      </c>
      <c r="B115" s="14" t="n">
        <v>60</v>
      </c>
      <c r="C115" s="14" t="n">
        <v>1</v>
      </c>
      <c r="D115" s="14" t="s">
        <v>1731</v>
      </c>
      <c r="E115" s="14" t="s">
        <v>540</v>
      </c>
      <c r="F115" s="14" t="s">
        <v>1647</v>
      </c>
      <c r="G115" s="14" t="s">
        <v>1133</v>
      </c>
      <c r="H115" s="7" t="s">
        <v>2066</v>
      </c>
      <c r="I115" s="14" t="s">
        <v>1732</v>
      </c>
    </row>
    <row r="116" customFormat="false" ht="15" hidden="false" customHeight="false" outlineLevel="0" collapsed="false">
      <c r="A116" s="14" t="s">
        <v>1733</v>
      </c>
      <c r="B116" s="14" t="n">
        <v>60</v>
      </c>
      <c r="C116" s="14" t="n">
        <v>1</v>
      </c>
      <c r="D116" s="14" t="s">
        <v>1734</v>
      </c>
      <c r="E116" s="14" t="s">
        <v>540</v>
      </c>
      <c r="F116" s="14" t="s">
        <v>1306</v>
      </c>
      <c r="G116" s="14" t="s">
        <v>2067</v>
      </c>
      <c r="H116" s="14"/>
      <c r="I116" s="14" t="s">
        <v>1735</v>
      </c>
    </row>
    <row r="117" customFormat="false" ht="15" hidden="false" customHeight="false" outlineLevel="0" collapsed="false">
      <c r="A117" s="14" t="s">
        <v>1733</v>
      </c>
      <c r="B117" s="14" t="n">
        <v>60</v>
      </c>
      <c r="C117" s="14" t="n">
        <v>2</v>
      </c>
      <c r="D117" s="14" t="s">
        <v>1731</v>
      </c>
      <c r="E117" s="14" t="s">
        <v>540</v>
      </c>
      <c r="F117" s="14" t="s">
        <v>1306</v>
      </c>
      <c r="G117" s="14" t="s">
        <v>2067</v>
      </c>
      <c r="H117" s="14"/>
      <c r="I117" s="14" t="s">
        <v>1736</v>
      </c>
    </row>
    <row r="118" customFormat="false" ht="15" hidden="false" customHeight="false" outlineLevel="0" collapsed="false">
      <c r="A118" s="14" t="s">
        <v>1733</v>
      </c>
      <c r="B118" s="14" t="n">
        <v>60</v>
      </c>
      <c r="C118" s="14" t="n">
        <v>3</v>
      </c>
      <c r="D118" s="14" t="s">
        <v>1731</v>
      </c>
      <c r="E118" s="14" t="s">
        <v>540</v>
      </c>
      <c r="F118" s="14" t="s">
        <v>1647</v>
      </c>
      <c r="G118" s="14" t="s">
        <v>1133</v>
      </c>
      <c r="H118" s="7" t="s">
        <v>2066</v>
      </c>
      <c r="I118" s="14" t="s">
        <v>1737</v>
      </c>
    </row>
    <row r="119" customFormat="false" ht="15" hidden="false" customHeight="false" outlineLevel="0" collapsed="false">
      <c r="A119" s="14" t="s">
        <v>1742</v>
      </c>
      <c r="B119" s="14" t="n">
        <v>61</v>
      </c>
      <c r="C119" s="14" t="n">
        <v>4</v>
      </c>
      <c r="D119" s="14" t="s">
        <v>1749</v>
      </c>
      <c r="E119" s="14"/>
      <c r="F119" s="14" t="s">
        <v>1389</v>
      </c>
      <c r="G119" s="14" t="s">
        <v>2068</v>
      </c>
      <c r="H119" s="14"/>
      <c r="I119" s="14" t="s">
        <v>1751</v>
      </c>
    </row>
    <row r="120" customFormat="false" ht="15" hidden="false" customHeight="false" outlineLevel="0" collapsed="false">
      <c r="A120" s="14" t="s">
        <v>1752</v>
      </c>
      <c r="B120" s="14" t="n">
        <v>66</v>
      </c>
      <c r="C120" s="14" t="n">
        <v>4</v>
      </c>
      <c r="D120" s="14" t="s">
        <v>1760</v>
      </c>
      <c r="E120" s="1" t="s">
        <v>601</v>
      </c>
      <c r="F120" s="14" t="s">
        <v>1761</v>
      </c>
      <c r="G120" s="14" t="s">
        <v>2069</v>
      </c>
      <c r="H120" s="14"/>
      <c r="I120" s="14" t="s">
        <v>1762</v>
      </c>
    </row>
    <row r="121" customFormat="false" ht="15" hidden="false" customHeight="false" outlineLevel="0" collapsed="false">
      <c r="A121" s="14" t="s">
        <v>1764</v>
      </c>
      <c r="B121" s="14" t="n">
        <v>66</v>
      </c>
      <c r="C121" s="14" t="n">
        <v>1</v>
      </c>
      <c r="D121" s="14" t="s">
        <v>1753</v>
      </c>
      <c r="E121" s="1" t="s">
        <v>601</v>
      </c>
      <c r="F121" s="14" t="s">
        <v>1765</v>
      </c>
      <c r="G121" s="14" t="s">
        <v>2008</v>
      </c>
      <c r="H121" s="14"/>
      <c r="I121" s="14" t="s">
        <v>1766</v>
      </c>
    </row>
    <row r="122" customFormat="false" ht="15" hidden="false" customHeight="false" outlineLevel="0" collapsed="false">
      <c r="A122" s="14" t="s">
        <v>1764</v>
      </c>
      <c r="B122" s="14" t="n">
        <v>66</v>
      </c>
      <c r="C122" s="14" t="n">
        <v>2</v>
      </c>
      <c r="D122" s="14" t="s">
        <v>1056</v>
      </c>
      <c r="E122" s="1" t="s">
        <v>601</v>
      </c>
      <c r="F122" s="14" t="s">
        <v>1765</v>
      </c>
      <c r="G122" s="14" t="s">
        <v>2064</v>
      </c>
      <c r="H122" s="14"/>
      <c r="I122" s="14" t="s">
        <v>1767</v>
      </c>
    </row>
    <row r="123" customFormat="false" ht="15" hidden="false" customHeight="false" outlineLevel="0" collapsed="false">
      <c r="A123" s="14" t="s">
        <v>1764</v>
      </c>
      <c r="B123" s="14" t="n">
        <v>66</v>
      </c>
      <c r="C123" s="14" t="n">
        <v>3</v>
      </c>
      <c r="D123" s="14" t="s">
        <v>1768</v>
      </c>
      <c r="E123" s="1" t="s">
        <v>601</v>
      </c>
      <c r="F123" s="14" t="s">
        <v>1765</v>
      </c>
      <c r="G123" s="14" t="s">
        <v>2064</v>
      </c>
      <c r="H123" s="14"/>
      <c r="I123" s="14" t="s">
        <v>1769</v>
      </c>
    </row>
    <row r="124" customFormat="false" ht="15" hidden="false" customHeight="false" outlineLevel="0" collapsed="false">
      <c r="A124" s="14" t="s">
        <v>1764</v>
      </c>
      <c r="B124" s="14" t="n">
        <v>66</v>
      </c>
      <c r="C124" s="14" t="n">
        <v>5</v>
      </c>
      <c r="D124" s="14" t="s">
        <v>1760</v>
      </c>
      <c r="E124" s="1" t="s">
        <v>601</v>
      </c>
      <c r="F124" s="14" t="s">
        <v>1389</v>
      </c>
      <c r="G124" s="14" t="s">
        <v>2033</v>
      </c>
      <c r="H124" s="14"/>
      <c r="I124" s="14" t="s">
        <v>1774</v>
      </c>
    </row>
    <row r="125" customFormat="false" ht="15" hidden="false" customHeight="false" outlineLevel="0" collapsed="false">
      <c r="A125" s="14" t="s">
        <v>1049</v>
      </c>
      <c r="B125" s="14" t="n">
        <v>70</v>
      </c>
      <c r="C125" s="14" t="n">
        <v>4</v>
      </c>
      <c r="D125" s="14" t="s">
        <v>1786</v>
      </c>
      <c r="E125" s="1" t="s">
        <v>619</v>
      </c>
      <c r="F125" s="14" t="s">
        <v>1389</v>
      </c>
      <c r="G125" s="14" t="s">
        <v>2070</v>
      </c>
      <c r="H125" s="14"/>
      <c r="I125" s="14" t="s">
        <v>1788</v>
      </c>
    </row>
    <row r="126" customFormat="false" ht="15" hidden="false" customHeight="false" outlineLevel="0" collapsed="false">
      <c r="A126" s="14" t="s">
        <v>1049</v>
      </c>
      <c r="B126" s="14" t="n">
        <v>70</v>
      </c>
      <c r="C126" s="14" t="n">
        <v>1</v>
      </c>
      <c r="D126" s="14" t="s">
        <v>1794</v>
      </c>
      <c r="E126" s="5" t="s">
        <v>433</v>
      </c>
      <c r="F126" s="14" t="s">
        <v>1647</v>
      </c>
      <c r="G126" s="14" t="s">
        <v>2071</v>
      </c>
      <c r="H126" s="14"/>
      <c r="I126" s="14" t="s">
        <v>1795</v>
      </c>
    </row>
    <row r="127" customFormat="false" ht="15" hidden="false" customHeight="false" outlineLevel="0" collapsed="false">
      <c r="A127" s="14" t="s">
        <v>1049</v>
      </c>
      <c r="B127" s="14" t="n">
        <v>70</v>
      </c>
      <c r="C127" s="14" t="n">
        <v>3</v>
      </c>
      <c r="D127" s="14" t="s">
        <v>1796</v>
      </c>
      <c r="E127" s="14" t="s">
        <v>433</v>
      </c>
      <c r="F127" s="14" t="s">
        <v>1306</v>
      </c>
      <c r="G127" s="14" t="s">
        <v>2072</v>
      </c>
      <c r="H127" s="14"/>
      <c r="I127" s="14" t="s">
        <v>1799</v>
      </c>
    </row>
    <row r="128" customFormat="false" ht="15" hidden="false" customHeight="false" outlineLevel="0" collapsed="false">
      <c r="A128" s="14" t="s">
        <v>1049</v>
      </c>
      <c r="B128" s="14" t="n">
        <v>70</v>
      </c>
      <c r="C128" s="14" t="n">
        <v>1</v>
      </c>
      <c r="D128" s="14" t="s">
        <v>1526</v>
      </c>
      <c r="E128" s="2" t="s">
        <v>632</v>
      </c>
      <c r="F128" s="14" t="s">
        <v>1647</v>
      </c>
      <c r="G128" s="14" t="s">
        <v>2073</v>
      </c>
      <c r="H128" s="14"/>
      <c r="I128" s="14" t="s">
        <v>1800</v>
      </c>
    </row>
    <row r="129" customFormat="false" ht="15" hidden="false" customHeight="false" outlineLevel="0" collapsed="false">
      <c r="A129" s="14" t="s">
        <v>1060</v>
      </c>
      <c r="B129" s="14" t="n">
        <v>70</v>
      </c>
      <c r="C129" s="14" t="n">
        <v>3</v>
      </c>
      <c r="D129" s="15" t="s">
        <v>2074</v>
      </c>
      <c r="E129" s="1" t="s">
        <v>619</v>
      </c>
      <c r="F129" s="14" t="s">
        <v>1808</v>
      </c>
      <c r="G129" s="14" t="s">
        <v>2075</v>
      </c>
      <c r="H129" s="14"/>
      <c r="I129" s="14" t="s">
        <v>1809</v>
      </c>
    </row>
    <row r="130" customFormat="false" ht="15" hidden="false" customHeight="false" outlineLevel="0" collapsed="false">
      <c r="A130" s="14" t="s">
        <v>1060</v>
      </c>
      <c r="B130" s="14" t="n">
        <v>70</v>
      </c>
      <c r="C130" s="14" t="n">
        <v>4</v>
      </c>
      <c r="D130" s="14" t="s">
        <v>1056</v>
      </c>
      <c r="E130" s="2" t="s">
        <v>632</v>
      </c>
      <c r="F130" s="14" t="s">
        <v>1824</v>
      </c>
      <c r="G130" s="14" t="s">
        <v>2049</v>
      </c>
      <c r="H130" s="14"/>
      <c r="I130" s="14" t="s">
        <v>1825</v>
      </c>
    </row>
    <row r="131" customFormat="false" ht="15" hidden="false" customHeight="false" outlineLevel="0" collapsed="false">
      <c r="A131" s="14" t="s">
        <v>1068</v>
      </c>
      <c r="B131" s="14" t="n">
        <v>70</v>
      </c>
      <c r="C131" s="14" t="n">
        <v>1</v>
      </c>
      <c r="D131" s="14" t="s">
        <v>1826</v>
      </c>
      <c r="E131" s="1" t="s">
        <v>619</v>
      </c>
      <c r="F131" s="14" t="s">
        <v>1827</v>
      </c>
      <c r="G131" s="14" t="s">
        <v>2008</v>
      </c>
      <c r="H131" s="14"/>
      <c r="I131" s="14" t="s">
        <v>1828</v>
      </c>
    </row>
    <row r="132" customFormat="false" ht="15" hidden="false" customHeight="false" outlineLevel="0" collapsed="false">
      <c r="A132" s="14" t="s">
        <v>1068</v>
      </c>
      <c r="B132" s="14" t="n">
        <v>70</v>
      </c>
      <c r="C132" s="14" t="n">
        <v>2</v>
      </c>
      <c r="D132" s="14" t="s">
        <v>1829</v>
      </c>
      <c r="E132" s="1" t="s">
        <v>619</v>
      </c>
      <c r="F132" s="14" t="s">
        <v>1647</v>
      </c>
      <c r="G132" s="14" t="s">
        <v>2051</v>
      </c>
      <c r="H132" s="14"/>
      <c r="I132" s="14" t="s">
        <v>1830</v>
      </c>
    </row>
    <row r="133" customFormat="false" ht="15" hidden="false" customHeight="false" outlineLevel="0" collapsed="false">
      <c r="A133" s="14" t="s">
        <v>1831</v>
      </c>
      <c r="B133" s="14" t="n">
        <v>71</v>
      </c>
      <c r="C133" s="14" t="n">
        <v>5</v>
      </c>
      <c r="D133" s="14" t="s">
        <v>2</v>
      </c>
      <c r="E133" s="2" t="s">
        <v>3</v>
      </c>
      <c r="F133" s="14" t="s">
        <v>4</v>
      </c>
      <c r="G133" s="14" t="s">
        <v>5</v>
      </c>
      <c r="H133" s="7" t="s">
        <v>6</v>
      </c>
      <c r="I133" s="14" t="s">
        <v>7</v>
      </c>
    </row>
    <row r="134" customFormat="false" ht="15" hidden="false" customHeight="false" outlineLevel="0" collapsed="false">
      <c r="A134" s="14" t="s">
        <v>1840</v>
      </c>
      <c r="B134" s="14" t="n">
        <v>77</v>
      </c>
      <c r="C134" s="14" t="n">
        <v>3</v>
      </c>
      <c r="D134" s="14" t="s">
        <v>1845</v>
      </c>
      <c r="E134" s="1" t="s">
        <v>666</v>
      </c>
      <c r="F134" s="14" t="s">
        <v>1846</v>
      </c>
      <c r="G134" s="14" t="s">
        <v>2001</v>
      </c>
      <c r="H134" s="14"/>
      <c r="I134" s="14" t="s">
        <v>1847</v>
      </c>
    </row>
    <row r="135" customFormat="false" ht="15" hidden="false" customHeight="false" outlineLevel="0" collapsed="false">
      <c r="A135" s="14" t="s">
        <v>1848</v>
      </c>
      <c r="B135" s="14" t="n">
        <v>77</v>
      </c>
      <c r="C135" s="14" t="n">
        <v>1</v>
      </c>
      <c r="D135" s="14" t="s">
        <v>1849</v>
      </c>
      <c r="E135" s="1" t="s">
        <v>666</v>
      </c>
      <c r="F135" s="14" t="s">
        <v>1647</v>
      </c>
      <c r="G135" s="14" t="s">
        <v>2001</v>
      </c>
      <c r="H135" s="14"/>
      <c r="I135" s="14" t="s">
        <v>1850</v>
      </c>
    </row>
    <row r="136" customFormat="false" ht="15" hidden="false" customHeight="false" outlineLevel="0" collapsed="false">
      <c r="A136" s="14" t="s">
        <v>1076</v>
      </c>
      <c r="B136" s="14" t="n">
        <v>78</v>
      </c>
      <c r="C136" s="14" t="n">
        <v>1</v>
      </c>
      <c r="D136" s="14" t="s">
        <v>1859</v>
      </c>
      <c r="E136" s="5" t="s">
        <v>675</v>
      </c>
      <c r="F136" s="14" t="s">
        <v>2076</v>
      </c>
      <c r="G136" s="14" t="s">
        <v>2070</v>
      </c>
      <c r="H136" s="14"/>
      <c r="I136" s="14" t="s">
        <v>1861</v>
      </c>
    </row>
    <row r="137" customFormat="false" ht="15" hidden="false" customHeight="false" outlineLevel="0" collapsed="false">
      <c r="A137" s="14" t="s">
        <v>1882</v>
      </c>
      <c r="B137" s="14" t="n">
        <v>79</v>
      </c>
      <c r="C137" s="14" t="n">
        <v>5</v>
      </c>
      <c r="D137" s="14" t="s">
        <v>1877</v>
      </c>
      <c r="E137" s="14" t="s">
        <v>691</v>
      </c>
      <c r="F137" s="14" t="s">
        <v>1891</v>
      </c>
      <c r="G137" s="14" t="s">
        <v>2051</v>
      </c>
      <c r="H137" s="14"/>
      <c r="I137" s="14" t="s">
        <v>1892</v>
      </c>
    </row>
    <row r="138" customFormat="false" ht="15" hidden="false" customHeight="false" outlineLevel="0" collapsed="false">
      <c r="A138" s="14" t="s">
        <v>1882</v>
      </c>
      <c r="B138" s="14" t="n">
        <v>79</v>
      </c>
      <c r="C138" s="14" t="n">
        <v>6</v>
      </c>
      <c r="D138" s="14" t="s">
        <v>1893</v>
      </c>
      <c r="E138" s="14" t="s">
        <v>691</v>
      </c>
      <c r="F138" s="14" t="s">
        <v>2077</v>
      </c>
      <c r="G138" s="14" t="s">
        <v>2078</v>
      </c>
      <c r="H138" s="7" t="s">
        <v>2079</v>
      </c>
      <c r="I138" s="14" t="s">
        <v>1894</v>
      </c>
    </row>
    <row r="139" customFormat="false" ht="15" hidden="false" customHeight="false" outlineLevel="0" collapsed="false">
      <c r="A139" s="14" t="s">
        <v>1895</v>
      </c>
      <c r="B139" s="14" t="n">
        <v>79</v>
      </c>
      <c r="C139" s="14" t="n">
        <v>1</v>
      </c>
      <c r="D139" s="14" t="s">
        <v>1896</v>
      </c>
      <c r="E139" s="14" t="s">
        <v>691</v>
      </c>
      <c r="F139" s="14" t="s">
        <v>1647</v>
      </c>
      <c r="G139" s="14" t="s">
        <v>2075</v>
      </c>
      <c r="H139" s="14"/>
      <c r="I139" s="14" t="s">
        <v>1897</v>
      </c>
    </row>
    <row r="140" customFormat="false" ht="15" hidden="false" customHeight="false" outlineLevel="0" collapsed="false">
      <c r="A140" s="14" t="s">
        <v>1895</v>
      </c>
      <c r="B140" s="14" t="n">
        <v>79</v>
      </c>
      <c r="C140" s="14" t="n">
        <v>4</v>
      </c>
      <c r="D140" s="14" t="s">
        <v>1903</v>
      </c>
      <c r="E140" s="14" t="s">
        <v>691</v>
      </c>
      <c r="F140" s="14" t="s">
        <v>1904</v>
      </c>
      <c r="G140" s="14" t="s">
        <v>2005</v>
      </c>
      <c r="H140" s="14"/>
      <c r="I140" s="14" t="s">
        <v>1905</v>
      </c>
    </row>
    <row r="141" customFormat="false" ht="15" hidden="false" customHeight="false" outlineLevel="0" collapsed="false">
      <c r="A141" s="14" t="s">
        <v>1895</v>
      </c>
      <c r="B141" s="14" t="n">
        <v>79</v>
      </c>
      <c r="C141" s="14" t="n">
        <v>6</v>
      </c>
      <c r="D141" s="14" t="s">
        <v>1893</v>
      </c>
      <c r="E141" s="14" t="s">
        <v>691</v>
      </c>
      <c r="F141" s="14" t="s">
        <v>1647</v>
      </c>
      <c r="G141" s="14" t="s">
        <v>2005</v>
      </c>
      <c r="H141" s="14"/>
      <c r="I141" s="14" t="s">
        <v>1907</v>
      </c>
    </row>
    <row r="142" customFormat="false" ht="15" hidden="false" customHeight="false" outlineLevel="0" collapsed="false">
      <c r="A142" s="14" t="s">
        <v>1091</v>
      </c>
      <c r="B142" s="14" t="n">
        <v>83</v>
      </c>
      <c r="C142" s="14" t="n">
        <v>1</v>
      </c>
      <c r="D142" s="14" t="s">
        <v>1105</v>
      </c>
      <c r="E142" s="5" t="s">
        <v>706</v>
      </c>
      <c r="F142" s="14" t="s">
        <v>1306</v>
      </c>
      <c r="G142" s="14" t="s">
        <v>2006</v>
      </c>
      <c r="H142" s="14"/>
      <c r="I142" s="14" t="s">
        <v>1909</v>
      </c>
    </row>
    <row r="143" customFormat="false" ht="15" hidden="false" customHeight="false" outlineLevel="0" collapsed="false">
      <c r="A143" s="14" t="s">
        <v>1098</v>
      </c>
      <c r="B143" s="14" t="n">
        <v>83</v>
      </c>
      <c r="C143" s="14" t="n">
        <v>1</v>
      </c>
      <c r="D143" s="14" t="s">
        <v>1910</v>
      </c>
      <c r="E143" s="14" t="s">
        <v>706</v>
      </c>
      <c r="F143" s="14" t="s">
        <v>1911</v>
      </c>
      <c r="G143" s="14" t="s">
        <v>2075</v>
      </c>
      <c r="H143" s="14"/>
      <c r="I143" s="14" t="s">
        <v>1912</v>
      </c>
    </row>
    <row r="144" customFormat="false" ht="15" hidden="false" customHeight="false" outlineLevel="0" collapsed="false">
      <c r="A144" s="14" t="s">
        <v>1913</v>
      </c>
      <c r="B144" s="14" t="n">
        <v>92</v>
      </c>
      <c r="C144" s="14" t="n">
        <v>4</v>
      </c>
      <c r="D144" s="14" t="s">
        <v>1916</v>
      </c>
      <c r="E144" s="5" t="s">
        <v>728</v>
      </c>
      <c r="F144" s="14" t="s">
        <v>1647</v>
      </c>
      <c r="G144" s="14" t="s">
        <v>2008</v>
      </c>
      <c r="H144" s="14"/>
      <c r="I144" s="14" t="s">
        <v>1922</v>
      </c>
    </row>
    <row r="145" customFormat="false" ht="15" hidden="false" customHeight="false" outlineLevel="0" collapsed="false">
      <c r="A145" s="14" t="s">
        <v>1913</v>
      </c>
      <c r="B145" s="14" t="n">
        <v>92</v>
      </c>
      <c r="C145" s="14" t="n">
        <v>5</v>
      </c>
      <c r="D145" s="14" t="s">
        <v>1923</v>
      </c>
      <c r="E145" s="14" t="s">
        <v>728</v>
      </c>
      <c r="F145" s="14" t="s">
        <v>1647</v>
      </c>
      <c r="G145" s="14" t="s">
        <v>2080</v>
      </c>
      <c r="H145" s="14"/>
      <c r="I145" s="14" t="s">
        <v>1924</v>
      </c>
    </row>
    <row r="146" customFormat="false" ht="15" hidden="false" customHeight="false" outlineLevel="0" collapsed="false">
      <c r="A146" s="14" t="s">
        <v>1925</v>
      </c>
      <c r="B146" s="14" t="n">
        <v>92</v>
      </c>
      <c r="C146" s="14" t="n">
        <v>3</v>
      </c>
      <c r="D146" s="14" t="s">
        <v>1923</v>
      </c>
      <c r="E146" s="14" t="s">
        <v>728</v>
      </c>
      <c r="F146" s="14" t="s">
        <v>1647</v>
      </c>
      <c r="G146" s="14" t="s">
        <v>2080</v>
      </c>
      <c r="H146" s="14"/>
      <c r="I146" s="14" t="s">
        <v>1931</v>
      </c>
    </row>
    <row r="147" customFormat="false" ht="15" hidden="false" customHeight="false" outlineLevel="0" collapsed="false">
      <c r="A147" s="14" t="s">
        <v>1925</v>
      </c>
      <c r="B147" s="14" t="n">
        <v>92</v>
      </c>
      <c r="C147" s="14" t="n">
        <v>4</v>
      </c>
      <c r="D147" s="14" t="s">
        <v>1932</v>
      </c>
      <c r="E147" s="14" t="s">
        <v>728</v>
      </c>
      <c r="F147" s="14" t="s">
        <v>1933</v>
      </c>
      <c r="G147" s="14" t="s">
        <v>2075</v>
      </c>
      <c r="H147" s="14"/>
      <c r="I147" s="14" t="s">
        <v>1934</v>
      </c>
    </row>
    <row r="148" customFormat="false" ht="15" hidden="false" customHeight="false" outlineLevel="0" collapsed="false">
      <c r="A148" s="14" t="s">
        <v>1935</v>
      </c>
      <c r="B148" s="14" t="n">
        <v>97</v>
      </c>
      <c r="C148" s="14" t="n">
        <v>1</v>
      </c>
      <c r="D148" s="14" t="s">
        <v>1936</v>
      </c>
      <c r="E148" s="14" t="s">
        <v>742</v>
      </c>
      <c r="F148" s="14" t="s">
        <v>1647</v>
      </c>
      <c r="G148" s="14" t="s">
        <v>2001</v>
      </c>
      <c r="H148" s="14"/>
      <c r="I148" s="14" t="s">
        <v>1937</v>
      </c>
    </row>
    <row r="149" customFormat="false" ht="15" hidden="false" customHeight="false" outlineLevel="0" collapsed="false">
      <c r="A149" s="14" t="s">
        <v>1935</v>
      </c>
      <c r="B149" s="14" t="n">
        <v>97</v>
      </c>
      <c r="C149" s="14" t="n">
        <v>3</v>
      </c>
      <c r="D149" s="14" t="s">
        <v>1941</v>
      </c>
      <c r="E149" s="14" t="s">
        <v>742</v>
      </c>
      <c r="F149" s="14" t="s">
        <v>1306</v>
      </c>
      <c r="G149" s="14" t="s">
        <v>2080</v>
      </c>
      <c r="H149" s="14"/>
      <c r="I149" s="14" t="s">
        <v>1942</v>
      </c>
    </row>
    <row r="150" customFormat="false" ht="15" hidden="false" customHeight="false" outlineLevel="0" collapsed="false">
      <c r="A150" s="14" t="s">
        <v>1935</v>
      </c>
      <c r="B150" s="14" t="n">
        <v>97</v>
      </c>
      <c r="C150" s="14" t="n">
        <v>4</v>
      </c>
      <c r="D150" s="14" t="s">
        <v>1938</v>
      </c>
      <c r="E150" s="14" t="s">
        <v>742</v>
      </c>
      <c r="F150" s="14" t="s">
        <v>1292</v>
      </c>
      <c r="G150" s="14" t="s">
        <v>2081</v>
      </c>
      <c r="H150" s="14"/>
      <c r="I150" s="14" t="s">
        <v>1943</v>
      </c>
    </row>
    <row r="151" customFormat="false" ht="15" hidden="false" customHeight="false" outlineLevel="0" collapsed="false">
      <c r="A151" s="14" t="s">
        <v>1944</v>
      </c>
      <c r="B151" s="14" t="n">
        <v>97</v>
      </c>
      <c r="C151" s="14" t="n">
        <v>1</v>
      </c>
      <c r="D151" s="14" t="s">
        <v>1945</v>
      </c>
      <c r="E151" s="14" t="s">
        <v>742</v>
      </c>
      <c r="F151" s="14" t="s">
        <v>1647</v>
      </c>
      <c r="G151" s="14" t="s">
        <v>2033</v>
      </c>
      <c r="H151" s="14"/>
      <c r="I151" s="14" t="s">
        <v>1946</v>
      </c>
    </row>
    <row r="152" customFormat="false" ht="15" hidden="false" customHeight="false" outlineLevel="0" collapsed="false">
      <c r="A152" s="14" t="s">
        <v>1944</v>
      </c>
      <c r="B152" s="14" t="n">
        <v>97</v>
      </c>
      <c r="C152" s="14" t="n">
        <v>2</v>
      </c>
      <c r="D152" s="14" t="s">
        <v>1936</v>
      </c>
      <c r="E152" s="14" t="s">
        <v>742</v>
      </c>
      <c r="F152" s="14" t="s">
        <v>1306</v>
      </c>
      <c r="G152" s="14" t="s">
        <v>2080</v>
      </c>
      <c r="H152" s="14"/>
      <c r="I152" s="14" t="s">
        <v>1947</v>
      </c>
    </row>
    <row r="153" customFormat="false" ht="15" hidden="false" customHeight="false" outlineLevel="0" collapsed="false">
      <c r="A153" s="14" t="s">
        <v>1944</v>
      </c>
      <c r="B153" s="14" t="n">
        <v>97</v>
      </c>
      <c r="C153" s="14" t="n">
        <v>3</v>
      </c>
      <c r="D153" s="14" t="s">
        <v>1941</v>
      </c>
      <c r="E153" s="14" t="s">
        <v>742</v>
      </c>
      <c r="F153" s="14" t="s">
        <v>1306</v>
      </c>
      <c r="G153" s="14" t="s">
        <v>2080</v>
      </c>
      <c r="H153" s="14"/>
      <c r="I153" s="14" t="s">
        <v>1948</v>
      </c>
    </row>
    <row r="154" customFormat="false" ht="15" hidden="false" customHeight="false" outlineLevel="0" collapsed="false">
      <c r="A154" s="14" t="s">
        <v>1944</v>
      </c>
      <c r="B154" s="14" t="n">
        <v>97</v>
      </c>
      <c r="C154" s="14" t="n">
        <v>4</v>
      </c>
      <c r="D154" s="14" t="s">
        <v>1949</v>
      </c>
      <c r="E154" s="14" t="s">
        <v>742</v>
      </c>
      <c r="F154" s="14" t="s">
        <v>1306</v>
      </c>
      <c r="G154" s="14" t="s">
        <v>2075</v>
      </c>
      <c r="H154" s="14"/>
      <c r="I154" s="14" t="s">
        <v>1950</v>
      </c>
    </row>
    <row r="155" customFormat="false" ht="15" hidden="false" customHeight="false" outlineLevel="0" collapsed="false">
      <c r="A155" s="14" t="s">
        <v>1959</v>
      </c>
      <c r="B155" s="14" t="n">
        <v>110</v>
      </c>
      <c r="C155" s="14" t="n">
        <v>1</v>
      </c>
      <c r="D155" s="14" t="s">
        <v>1960</v>
      </c>
      <c r="E155" s="14" t="s">
        <v>788</v>
      </c>
      <c r="F155" s="14" t="s">
        <v>1647</v>
      </c>
      <c r="G155" s="14" t="s">
        <v>2063</v>
      </c>
      <c r="H155" s="14"/>
      <c r="I155" s="14" t="s">
        <v>1961</v>
      </c>
    </row>
    <row r="156" customFormat="false" ht="15" hidden="false" customHeight="false" outlineLevel="0" collapsed="false">
      <c r="A156" s="14" t="s">
        <v>1959</v>
      </c>
      <c r="B156" s="14" t="n">
        <v>110</v>
      </c>
      <c r="C156" s="14" t="n">
        <v>2</v>
      </c>
      <c r="D156" s="14" t="s">
        <v>1592</v>
      </c>
      <c r="E156" s="14" t="s">
        <v>788</v>
      </c>
      <c r="F156" s="14" t="s">
        <v>1306</v>
      </c>
      <c r="G156" s="14" t="s">
        <v>2005</v>
      </c>
      <c r="H156" s="14"/>
      <c r="I156" s="14" t="s">
        <v>1962</v>
      </c>
    </row>
    <row r="157" customFormat="false" ht="15" hidden="false" customHeight="false" outlineLevel="0" collapsed="false">
      <c r="A157" s="14" t="s">
        <v>1959</v>
      </c>
      <c r="B157" s="14" t="n">
        <v>110</v>
      </c>
      <c r="C157" s="14" t="n">
        <v>4</v>
      </c>
      <c r="D157" s="14" t="s">
        <v>1963</v>
      </c>
      <c r="E157" s="14"/>
      <c r="F157" s="14" t="s">
        <v>1335</v>
      </c>
      <c r="G157" s="14" t="s">
        <v>2001</v>
      </c>
      <c r="H157" s="14"/>
      <c r="I157" s="14" t="s">
        <v>1964</v>
      </c>
    </row>
    <row r="158" customFormat="false" ht="15" hidden="false" customHeight="false" outlineLevel="0" collapsed="false">
      <c r="A158" s="14" t="s">
        <v>1965</v>
      </c>
      <c r="B158" s="14" t="n">
        <v>112</v>
      </c>
      <c r="C158" s="14" t="n">
        <v>4</v>
      </c>
      <c r="D158" s="14" t="s">
        <v>1973</v>
      </c>
      <c r="E158" s="14"/>
      <c r="F158" s="14" t="s">
        <v>1647</v>
      </c>
      <c r="G158" s="14" t="s">
        <v>2082</v>
      </c>
      <c r="H158" s="14"/>
      <c r="I158" s="14" t="s">
        <v>1974</v>
      </c>
    </row>
    <row r="159" customFormat="false" ht="15" hidden="false" customHeight="false" outlineLevel="0" collapsed="false">
      <c r="A159" s="14" t="s">
        <v>1965</v>
      </c>
      <c r="B159" s="14" t="n">
        <v>112</v>
      </c>
      <c r="C159" s="14" t="n">
        <v>6</v>
      </c>
      <c r="D159" s="14" t="s">
        <v>1975</v>
      </c>
      <c r="E159" s="14"/>
      <c r="F159" s="14" t="s">
        <v>1977</v>
      </c>
      <c r="G159" s="14" t="s">
        <v>2083</v>
      </c>
      <c r="H159" s="14"/>
      <c r="I159" s="14" t="s">
        <v>1978</v>
      </c>
    </row>
    <row r="160" customFormat="false" ht="15" hidden="false" customHeight="false" outlineLevel="0" collapsed="false">
      <c r="A160" s="14" t="s">
        <v>1979</v>
      </c>
      <c r="B160" s="14" t="n">
        <v>112</v>
      </c>
      <c r="C160" s="14" t="n">
        <v>1</v>
      </c>
      <c r="D160" s="14" t="s">
        <v>1980</v>
      </c>
      <c r="E160" s="14"/>
      <c r="F160" s="14" t="s">
        <v>1306</v>
      </c>
      <c r="G160" s="14" t="s">
        <v>2080</v>
      </c>
      <c r="H160" s="14"/>
      <c r="I160" s="14" t="s">
        <v>1982</v>
      </c>
    </row>
    <row r="161" customFormat="false" ht="15" hidden="false" customHeight="false" outlineLevel="0" collapsed="false">
      <c r="A161" s="14" t="s">
        <v>1979</v>
      </c>
      <c r="B161" s="14" t="n">
        <v>112</v>
      </c>
      <c r="C161" s="14" t="n">
        <v>2</v>
      </c>
      <c r="D161" s="14" t="s">
        <v>1983</v>
      </c>
      <c r="E161" s="14"/>
      <c r="F161" s="14" t="s">
        <v>1306</v>
      </c>
      <c r="G161" s="14" t="s">
        <v>2080</v>
      </c>
      <c r="H161" s="14"/>
      <c r="I161" s="14" t="s">
        <v>1984</v>
      </c>
    </row>
  </sheetData>
  <hyperlinks>
    <hyperlink ref="H2" r:id="rId1" location="l-13-not-emitting-event-for-important-state-changes" display="https://code4rena.com/reports/2021-04-marginswap/#l-13-not-emitting-event-for-important-state-changes"/>
    <hyperlink ref="H22" r:id="rId2" location="h-01-user-could-lose-underlying-tokens-when-redeeming-from-the-idleyieldsource" display="https://code4rena.com/reports/2021-06-pooltogether/#h-01-user-could-lose-underlying-tokens-when-redeeming-from-the-idleyieldsource"/>
    <hyperlink ref="H27" r:id="rId3" location="h-01-user-could-lose-underlying-tokens-when-redeeming-from-the-idleyieldsource" display="https://code4rena.com/reports/2021-06-pooltogether/#h-01-user-could-lose-underlying-tokens-when-redeeming-from-the-idleyieldsource"/>
    <hyperlink ref="H30" r:id="rId4" location="h-06-wrong-price-scale-for-gasoracle" display="https://code4rena.com/reports/2021-06-tracer/#h-06-wrong-price-scale-for-gasoracle"/>
    <hyperlink ref="H40" r:id="rId5" location="l-08-potential-division-by-zero" display="https://code4rena.com/reports/2021-06-tracer/#l-08-potential-division-by-zero"/>
    <hyperlink ref="H42" r:id="rId6" location="l-03-buoy3pool_updateratios-unsafe-math" display="https://code4rena.com/reports/2021-06-gro/#l-03-buoy3pool_updateratios-unsafe-math"/>
    <hyperlink ref="H69" r:id="rId7" location="h-02-wrong-implementation-of-creditlimitbymediansolgetlockedamount-makes-it-unable-to-unlock-lockedamount-in-creditlimitbymedian-model" display="https://code4rena.com/reports/2021-10-union/#h-02-wrong-implementation-of-creditlimitbymediansolgetlockedamount-makes-it-unable-to-unlock-lockedamount-in-creditlimitbymedian-model"/>
    <hyperlink ref="H76" r:id="rId8" location="h-03-wrappedibbtceth-contract-will-use-stalled-price-for-mintburn-if-updatepricepershare-wasnt-run-properly" display="https://code4rena.com/reports/2021-10-badgerdao/#h-03-wrappedibbtceth-contract-will-use-stalled-price-for-mintburn-if-updatepricepershare-wasnt-run-properly"/>
    <hyperlink ref="H77" r:id="rId9" location="h-03-wrappedibbtceth-contract-will-use-stalled-price-for-mintburn-if-updatepricepershare-wasnt-run-properly" display="https://code4rena.com/reports/2021-10-badgerdao/#h-03-wrappedibbtceth-contract-will-use-stalled-price-for-mintburn-if-updatepricepershare-wasnt-run-properly"/>
    <hyperlink ref="H78" r:id="rId10" location="h-03-wrappedibbtceth-contract-will-use-stalled-price-for-mintburn-if-updatepricepershare-wasnt-run-properly" display="https://code4rena.com/reports/2021-10-badgerdao/#h-03-wrappedibbtceth-contract-will-use-stalled-price-for-mintburn-if-updatepricepershare-wasnt-run-properly"/>
    <hyperlink ref="H91" r:id="rId11" location="m-21-vaderpoolv2rescue-results-in-loss-of-funds-rather-than-recoverability" display="https://code4rena.com/reports/2021-11-vader/#m-21-vaderpoolv2rescue-results-in-loss-of-funds-rather-than-recoverability"/>
    <hyperlink ref="H103" r:id="rId12" location="m-03-users-can-avoid-paying-vault-fees" display="https://code4rena.com/reports/2021-12-mellow/#m-03-users-can-avoid-paying-vault-fees"/>
    <hyperlink ref="H115" r:id="rId13" location="h-01-wrong-shortfall-calculation" display="https://code4rena.com/reports/2021-12-perennial/#h-01-wrong-shortfall-calculation"/>
    <hyperlink ref="H118" r:id="rId14" location="h-01-wrong-shortfall-calculation" display="https://code4rena.com/reports/2021-12-perennial/#h-01-wrong-shortfall-calculation"/>
    <hyperlink ref="H133" r:id="rId15" location="h-02-typo-in-pooltemplate-unlock-function-results-in-user-being-able-to-unlock-multiple-times" display="https://code4rena.com/reports/2022-01-insure/#h-02-typo-in-pooltemplate-unlock-function-results-in-user-being-able-to-unlock-multiple-times"/>
    <hyperlink ref="H138" r:id="rId16" display="https://github.com/code-423n4/2022-01-trader-joe-findings/issues/140"/>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7"/>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G150" activeCellId="1" sqref="G14:I22 G150"/>
    </sheetView>
  </sheetViews>
  <sheetFormatPr defaultColWidth="8.4296875" defaultRowHeight="15" zeroHeight="false" outlineLevelRow="0" outlineLevelCol="0"/>
  <cols>
    <col collapsed="false" customWidth="true" hidden="false" outlineLevel="0" max="5" min="4" style="0" width="17"/>
    <col collapsed="false" customWidth="true" hidden="false" outlineLevel="0" max="6" min="6" style="0" width="24.45"/>
    <col collapsed="false" customWidth="true" hidden="false" outlineLevel="0" max="7" min="7" style="0" width="12.17"/>
    <col collapsed="false" customWidth="true" hidden="false" outlineLevel="0" max="8" min="8" style="0" width="31.27"/>
    <col collapsed="false" customWidth="true" hidden="false" outlineLevel="0" max="9" min="9" style="0" width="13"/>
  </cols>
  <sheetData>
    <row r="1" customFormat="false" ht="15" hidden="false" customHeight="false" outlineLevel="0" collapsed="false">
      <c r="A1" s="12" t="s">
        <v>1161</v>
      </c>
      <c r="B1" s="12" t="s">
        <v>21</v>
      </c>
      <c r="C1" s="12" t="s">
        <v>892</v>
      </c>
      <c r="D1" s="12" t="s">
        <v>1164</v>
      </c>
      <c r="E1" s="12" t="s">
        <v>1993</v>
      </c>
      <c r="F1" s="12" t="s">
        <v>1165</v>
      </c>
      <c r="G1" s="12" t="s">
        <v>1166</v>
      </c>
      <c r="H1" s="12" t="s">
        <v>1167</v>
      </c>
      <c r="I1" s="12" t="s">
        <v>1168</v>
      </c>
    </row>
    <row r="2" customFormat="false" ht="15" hidden="false" customHeight="false" outlineLevel="0" collapsed="false">
      <c r="A2" s="14" t="s">
        <v>895</v>
      </c>
      <c r="B2" s="14" t="n">
        <v>3</v>
      </c>
      <c r="C2" s="14" t="n">
        <v>3</v>
      </c>
      <c r="D2" s="14" t="s">
        <v>1179</v>
      </c>
      <c r="E2" s="14"/>
      <c r="F2" s="14" t="s">
        <v>1180</v>
      </c>
      <c r="G2" s="14" t="s">
        <v>1994</v>
      </c>
      <c r="H2" s="7" t="s">
        <v>1995</v>
      </c>
      <c r="I2" s="14" t="s">
        <v>1181</v>
      </c>
    </row>
    <row r="3" customFormat="false" ht="15" hidden="false" customHeight="false" outlineLevel="0" collapsed="false">
      <c r="A3" s="14" t="s">
        <v>895</v>
      </c>
      <c r="B3" s="14" t="n">
        <v>3</v>
      </c>
      <c r="C3" s="14" t="n">
        <v>4</v>
      </c>
      <c r="D3" s="14" t="s">
        <v>1182</v>
      </c>
      <c r="E3" s="14"/>
      <c r="F3" s="14" t="s">
        <v>1183</v>
      </c>
      <c r="G3" s="14" t="s">
        <v>1996</v>
      </c>
      <c r="H3" s="14"/>
      <c r="I3" s="14" t="s">
        <v>1184</v>
      </c>
    </row>
    <row r="4" customFormat="false" ht="15" hidden="false" customHeight="false" outlineLevel="0" collapsed="false">
      <c r="A4" s="14" t="s">
        <v>895</v>
      </c>
      <c r="B4" s="14" t="n">
        <v>3</v>
      </c>
      <c r="C4" s="14" t="n">
        <v>5</v>
      </c>
      <c r="D4" s="14" t="s">
        <v>1179</v>
      </c>
      <c r="E4" s="14"/>
      <c r="F4" s="14" t="s">
        <v>1185</v>
      </c>
      <c r="G4" s="14" t="s">
        <v>1996</v>
      </c>
      <c r="H4" s="14"/>
      <c r="I4" s="14" t="s">
        <v>1186</v>
      </c>
    </row>
    <row r="5" customFormat="false" ht="15" hidden="false" customHeight="false" outlineLevel="0" collapsed="false">
      <c r="A5" s="14" t="s">
        <v>900</v>
      </c>
      <c r="B5" s="14" t="n">
        <v>3</v>
      </c>
      <c r="C5" s="14" t="n">
        <v>5</v>
      </c>
      <c r="D5" s="14" t="s">
        <v>1997</v>
      </c>
      <c r="E5" s="14"/>
      <c r="F5" s="14" t="s">
        <v>1199</v>
      </c>
      <c r="G5" s="14" t="s">
        <v>1996</v>
      </c>
      <c r="H5" s="14"/>
      <c r="I5" s="14" t="s">
        <v>1200</v>
      </c>
    </row>
    <row r="6" customFormat="false" ht="15" hidden="false" customHeight="false" outlineLevel="0" collapsed="false">
      <c r="A6" s="14" t="s">
        <v>905</v>
      </c>
      <c r="B6" s="14" t="n">
        <v>3</v>
      </c>
      <c r="C6" s="14" t="n">
        <v>2</v>
      </c>
      <c r="D6" s="14" t="s">
        <v>1204</v>
      </c>
      <c r="E6" s="14"/>
      <c r="F6" s="14" t="s">
        <v>1647</v>
      </c>
      <c r="G6" s="14" t="s">
        <v>1998</v>
      </c>
      <c r="H6" s="14"/>
      <c r="I6" s="14" t="s">
        <v>1206</v>
      </c>
    </row>
    <row r="7" customFormat="false" ht="15" hidden="false" customHeight="false" outlineLevel="0" collapsed="false">
      <c r="A7" s="14" t="s">
        <v>905</v>
      </c>
      <c r="B7" s="14" t="n">
        <v>3</v>
      </c>
      <c r="C7" s="14" t="n">
        <v>5</v>
      </c>
      <c r="D7" s="14" t="s">
        <v>1204</v>
      </c>
      <c r="E7" s="14"/>
      <c r="F7" s="14" t="s">
        <v>1389</v>
      </c>
      <c r="G7" s="14" t="s">
        <v>1999</v>
      </c>
      <c r="H7" s="14"/>
      <c r="I7" s="14" t="s">
        <v>1213</v>
      </c>
    </row>
    <row r="8" customFormat="false" ht="15" hidden="false" customHeight="false" outlineLevel="0" collapsed="false">
      <c r="A8" s="14" t="s">
        <v>1214</v>
      </c>
      <c r="B8" s="14" t="n">
        <v>5</v>
      </c>
      <c r="C8" s="14" t="n">
        <v>3</v>
      </c>
      <c r="D8" s="14" t="s">
        <v>1221</v>
      </c>
      <c r="E8" s="14"/>
      <c r="F8" s="14" t="s">
        <v>1222</v>
      </c>
      <c r="G8" s="14" t="s">
        <v>2000</v>
      </c>
      <c r="H8" s="14"/>
      <c r="I8" s="14" t="s">
        <v>1223</v>
      </c>
    </row>
    <row r="9" customFormat="false" ht="15" hidden="false" customHeight="false" outlineLevel="0" collapsed="false">
      <c r="A9" s="14" t="s">
        <v>1214</v>
      </c>
      <c r="B9" s="14" t="n">
        <v>5</v>
      </c>
      <c r="C9" s="14" t="n">
        <v>4</v>
      </c>
      <c r="D9" s="14" t="s">
        <v>1224</v>
      </c>
      <c r="E9" s="14"/>
      <c r="F9" s="14" t="s">
        <v>1225</v>
      </c>
      <c r="G9" s="14" t="s">
        <v>2001</v>
      </c>
      <c r="H9" s="14"/>
      <c r="I9" s="14" t="s">
        <v>1226</v>
      </c>
    </row>
    <row r="10" customFormat="false" ht="15" hidden="false" customHeight="false" outlineLevel="0" collapsed="false">
      <c r="A10" s="14" t="s">
        <v>1227</v>
      </c>
      <c r="B10" s="14" t="n">
        <v>5</v>
      </c>
      <c r="C10" s="14" t="n">
        <v>1</v>
      </c>
      <c r="D10" s="14" t="s">
        <v>1228</v>
      </c>
      <c r="E10" s="14"/>
      <c r="F10" s="14" t="s">
        <v>1229</v>
      </c>
      <c r="G10" s="14" t="s">
        <v>2002</v>
      </c>
      <c r="H10" s="14"/>
      <c r="I10" s="14" t="s">
        <v>1230</v>
      </c>
    </row>
    <row r="11" customFormat="false" ht="15" hidden="false" customHeight="false" outlineLevel="0" collapsed="false">
      <c r="A11" s="14" t="s">
        <v>1227</v>
      </c>
      <c r="B11" s="14" t="n">
        <v>5</v>
      </c>
      <c r="C11" s="14" t="n">
        <v>2</v>
      </c>
      <c r="D11" s="14" t="s">
        <v>1231</v>
      </c>
      <c r="E11" s="14"/>
      <c r="F11" s="14" t="s">
        <v>1232</v>
      </c>
      <c r="G11" s="14" t="s">
        <v>2003</v>
      </c>
      <c r="H11" s="14"/>
      <c r="I11" s="14" t="s">
        <v>1233</v>
      </c>
    </row>
    <row r="12" customFormat="false" ht="15" hidden="false" customHeight="false" outlineLevel="0" collapsed="false">
      <c r="A12" s="14" t="s">
        <v>1252</v>
      </c>
      <c r="B12" s="14" t="n">
        <v>5</v>
      </c>
      <c r="C12" s="14" t="n">
        <v>4</v>
      </c>
      <c r="D12" s="14" t="s">
        <v>1261</v>
      </c>
      <c r="E12" s="14"/>
      <c r="F12" s="14" t="s">
        <v>1262</v>
      </c>
      <c r="G12" s="14" t="s">
        <v>2004</v>
      </c>
      <c r="H12" s="14"/>
      <c r="I12" s="14" t="s">
        <v>1263</v>
      </c>
    </row>
    <row r="13" customFormat="false" ht="15" hidden="false" customHeight="false" outlineLevel="0" collapsed="false">
      <c r="A13" s="14" t="s">
        <v>1252</v>
      </c>
      <c r="B13" s="14" t="n">
        <v>5</v>
      </c>
      <c r="C13" s="14" t="n">
        <v>7</v>
      </c>
      <c r="D13" s="14" t="s">
        <v>1259</v>
      </c>
      <c r="E13" s="14"/>
      <c r="F13" s="14" t="s">
        <v>1283</v>
      </c>
      <c r="G13" s="14" t="s">
        <v>2005</v>
      </c>
      <c r="H13" s="14"/>
      <c r="I13" s="14" t="s">
        <v>1284</v>
      </c>
    </row>
    <row r="14" customFormat="false" ht="15" hidden="false" customHeight="false" outlineLevel="0" collapsed="false">
      <c r="A14" s="14" t="s">
        <v>1285</v>
      </c>
      <c r="B14" s="14" t="n">
        <v>14</v>
      </c>
      <c r="C14" s="14" t="n">
        <v>1</v>
      </c>
      <c r="D14" s="14" t="s">
        <v>1286</v>
      </c>
      <c r="E14" s="14" t="s">
        <v>151</v>
      </c>
      <c r="F14" s="14" t="s">
        <v>1647</v>
      </c>
      <c r="G14" s="14" t="n">
        <f aca="false">FALSE()</f>
        <v>0</v>
      </c>
      <c r="H14" s="14"/>
      <c r="I14" s="14" t="s">
        <v>1287</v>
      </c>
    </row>
    <row r="15" customFormat="false" ht="15" hidden="false" customHeight="false" outlineLevel="0" collapsed="false">
      <c r="A15" s="14" t="s">
        <v>1285</v>
      </c>
      <c r="B15" s="14" t="n">
        <v>14</v>
      </c>
      <c r="C15" s="14" t="n">
        <v>2</v>
      </c>
      <c r="D15" s="14" t="s">
        <v>1288</v>
      </c>
      <c r="E15" s="14" t="s">
        <v>151</v>
      </c>
      <c r="F15" s="14" t="s">
        <v>1306</v>
      </c>
      <c r="G15" s="14" t="s">
        <v>2006</v>
      </c>
      <c r="H15" s="14"/>
      <c r="I15" s="14" t="s">
        <v>1290</v>
      </c>
    </row>
    <row r="16" customFormat="false" ht="15" hidden="false" customHeight="false" outlineLevel="0" collapsed="false">
      <c r="A16" s="14" t="s">
        <v>1285</v>
      </c>
      <c r="B16" s="14" t="n">
        <v>14</v>
      </c>
      <c r="C16" s="14" t="n">
        <v>4</v>
      </c>
      <c r="D16" s="14" t="s">
        <v>1288</v>
      </c>
      <c r="E16" s="14" t="s">
        <v>151</v>
      </c>
      <c r="F16" s="14" t="s">
        <v>1292</v>
      </c>
      <c r="G16" s="14" t="s">
        <v>2008</v>
      </c>
      <c r="H16" s="14"/>
      <c r="I16" s="14" t="s">
        <v>1293</v>
      </c>
    </row>
    <row r="17" customFormat="false" ht="15" hidden="false" customHeight="false" outlineLevel="0" collapsed="false">
      <c r="A17" s="14" t="s">
        <v>1285</v>
      </c>
      <c r="B17" s="14" t="n">
        <v>14</v>
      </c>
      <c r="C17" s="14" t="n">
        <v>5</v>
      </c>
      <c r="D17" s="14" t="s">
        <v>1294</v>
      </c>
      <c r="E17" s="14" t="s">
        <v>151</v>
      </c>
      <c r="F17" s="14" t="s">
        <v>1306</v>
      </c>
      <c r="G17" s="14" t="s">
        <v>2009</v>
      </c>
      <c r="H17" s="14"/>
      <c r="I17" s="14" t="s">
        <v>1295</v>
      </c>
    </row>
    <row r="18" customFormat="false" ht="15" hidden="false" customHeight="false" outlineLevel="0" collapsed="false">
      <c r="A18" s="14" t="s">
        <v>1285</v>
      </c>
      <c r="B18" s="14" t="n">
        <v>14</v>
      </c>
      <c r="C18" s="14" t="n">
        <v>1</v>
      </c>
      <c r="D18" s="14" t="s">
        <v>1296</v>
      </c>
      <c r="E18" s="14" t="s">
        <v>2010</v>
      </c>
      <c r="F18" s="14" t="s">
        <v>1647</v>
      </c>
      <c r="G18" s="14" t="s">
        <v>2005</v>
      </c>
      <c r="H18" s="14"/>
      <c r="I18" s="14" t="s">
        <v>1297</v>
      </c>
    </row>
    <row r="19" customFormat="false" ht="15" hidden="false" customHeight="false" outlineLevel="0" collapsed="false">
      <c r="A19" s="14" t="s">
        <v>1285</v>
      </c>
      <c r="B19" s="14" t="n">
        <v>14</v>
      </c>
      <c r="C19" s="14" t="n">
        <v>2</v>
      </c>
      <c r="D19" s="14" t="s">
        <v>1298</v>
      </c>
      <c r="E19" s="14" t="s">
        <v>2010</v>
      </c>
      <c r="F19" s="14" t="s">
        <v>1306</v>
      </c>
      <c r="G19" s="14" t="s">
        <v>2009</v>
      </c>
      <c r="H19" s="14"/>
      <c r="I19" s="14" t="s">
        <v>1299</v>
      </c>
    </row>
    <row r="20" customFormat="false" ht="15" hidden="false" customHeight="false" outlineLevel="0" collapsed="false">
      <c r="A20" s="14" t="s">
        <v>1285</v>
      </c>
      <c r="B20" s="14" t="n">
        <v>14</v>
      </c>
      <c r="C20" s="14" t="n">
        <v>3</v>
      </c>
      <c r="D20" s="14" t="s">
        <v>1300</v>
      </c>
      <c r="E20" s="14" t="s">
        <v>2010</v>
      </c>
      <c r="F20" s="14" t="s">
        <v>1306</v>
      </c>
      <c r="G20" s="14" t="s">
        <v>2011</v>
      </c>
      <c r="H20" s="14"/>
      <c r="I20" s="14" t="s">
        <v>1301</v>
      </c>
    </row>
    <row r="21" customFormat="false" ht="15" hidden="false" customHeight="false" outlineLevel="0" collapsed="false">
      <c r="A21" s="14" t="s">
        <v>1285</v>
      </c>
      <c r="B21" s="14" t="n">
        <v>14</v>
      </c>
      <c r="C21" s="14" t="n">
        <v>5</v>
      </c>
      <c r="D21" s="14" t="s">
        <v>1303</v>
      </c>
      <c r="E21" s="14" t="s">
        <v>2010</v>
      </c>
      <c r="F21" s="14" t="s">
        <v>1306</v>
      </c>
      <c r="G21" s="14" t="s">
        <v>2013</v>
      </c>
      <c r="H21" s="14"/>
      <c r="I21" s="14" t="s">
        <v>1304</v>
      </c>
    </row>
    <row r="22" customFormat="false" ht="15" hidden="false" customHeight="false" outlineLevel="0" collapsed="false">
      <c r="A22" s="14" t="s">
        <v>1305</v>
      </c>
      <c r="B22" s="14" t="n">
        <v>14</v>
      </c>
      <c r="C22" s="14" t="n">
        <v>1</v>
      </c>
      <c r="D22" s="14" t="s">
        <v>1312</v>
      </c>
      <c r="E22" s="14" t="s">
        <v>2010</v>
      </c>
      <c r="F22" s="14" t="s">
        <v>1647</v>
      </c>
      <c r="G22" s="14" t="s">
        <v>2008</v>
      </c>
      <c r="H22" s="14"/>
      <c r="I22" s="14" t="s">
        <v>1313</v>
      </c>
    </row>
    <row r="23" customFormat="false" ht="15" hidden="false" customHeight="false" outlineLevel="0" collapsed="false">
      <c r="A23" s="14" t="s">
        <v>1305</v>
      </c>
      <c r="B23" s="14" t="n">
        <v>14</v>
      </c>
      <c r="C23" s="14" t="n">
        <v>2</v>
      </c>
      <c r="D23" s="14" t="s">
        <v>1314</v>
      </c>
      <c r="E23" s="14" t="s">
        <v>2010</v>
      </c>
      <c r="F23" s="14" t="s">
        <v>1647</v>
      </c>
      <c r="G23" s="14" t="s">
        <v>2008</v>
      </c>
      <c r="H23" s="14"/>
      <c r="I23" s="14" t="s">
        <v>1315</v>
      </c>
    </row>
    <row r="24" customFormat="false" ht="15" hidden="false" customHeight="false" outlineLevel="0" collapsed="false">
      <c r="A24" s="14" t="s">
        <v>909</v>
      </c>
      <c r="B24" s="14" t="n">
        <v>16</v>
      </c>
      <c r="C24" s="14" t="n">
        <v>1</v>
      </c>
      <c r="D24" s="14" t="s">
        <v>1256</v>
      </c>
      <c r="E24" s="15" t="s">
        <v>2014</v>
      </c>
      <c r="F24" s="14" t="s">
        <v>1324</v>
      </c>
      <c r="G24" s="14" t="s">
        <v>2006</v>
      </c>
      <c r="H24" s="14"/>
      <c r="I24" s="14" t="s">
        <v>1325</v>
      </c>
    </row>
    <row r="25" customFormat="false" ht="15" hidden="false" customHeight="false" outlineLevel="0" collapsed="false">
      <c r="A25" s="14" t="s">
        <v>909</v>
      </c>
      <c r="B25" s="14" t="n">
        <v>16</v>
      </c>
      <c r="C25" s="14" t="n">
        <v>4</v>
      </c>
      <c r="D25" s="14" t="s">
        <v>1256</v>
      </c>
      <c r="E25" s="15" t="s">
        <v>2014</v>
      </c>
      <c r="F25" s="14" t="s">
        <v>1329</v>
      </c>
      <c r="G25" s="14" t="s">
        <v>2015</v>
      </c>
      <c r="H25" s="14"/>
      <c r="I25" s="14" t="s">
        <v>1330</v>
      </c>
    </row>
    <row r="26" customFormat="false" ht="15" hidden="false" customHeight="false" outlineLevel="0" collapsed="false">
      <c r="A26" s="14" t="s">
        <v>909</v>
      </c>
      <c r="B26" s="14" t="n">
        <v>16</v>
      </c>
      <c r="C26" s="14" t="n">
        <v>1</v>
      </c>
      <c r="D26" s="14" t="s">
        <v>1331</v>
      </c>
      <c r="E26" s="14" t="s">
        <v>170</v>
      </c>
      <c r="F26" s="14" t="s">
        <v>1647</v>
      </c>
      <c r="G26" s="14" t="s">
        <v>12</v>
      </c>
      <c r="H26" s="7" t="s">
        <v>2017</v>
      </c>
      <c r="I26" s="14" t="s">
        <v>1333</v>
      </c>
    </row>
    <row r="27" customFormat="false" ht="15" hidden="false" customHeight="false" outlineLevel="0" collapsed="false">
      <c r="A27" s="14" t="s">
        <v>909</v>
      </c>
      <c r="B27" s="14" t="n">
        <v>16</v>
      </c>
      <c r="C27" s="14" t="n">
        <v>2</v>
      </c>
      <c r="D27" s="14" t="s">
        <v>1334</v>
      </c>
      <c r="E27" s="14" t="s">
        <v>170</v>
      </c>
      <c r="F27" s="14" t="s">
        <v>1335</v>
      </c>
      <c r="G27" s="14" t="s">
        <v>2018</v>
      </c>
      <c r="H27" s="14"/>
      <c r="I27" s="14" t="s">
        <v>1336</v>
      </c>
    </row>
    <row r="28" customFormat="false" ht="15" hidden="false" customHeight="false" outlineLevel="0" collapsed="false">
      <c r="A28" s="14" t="s">
        <v>909</v>
      </c>
      <c r="B28" s="14" t="n">
        <v>16</v>
      </c>
      <c r="C28" s="14" t="n">
        <v>3</v>
      </c>
      <c r="D28" s="14" t="s">
        <v>1337</v>
      </c>
      <c r="E28" s="14" t="s">
        <v>170</v>
      </c>
      <c r="F28" s="14" t="s">
        <v>1292</v>
      </c>
      <c r="G28" s="14" t="s">
        <v>2019</v>
      </c>
      <c r="H28" s="14"/>
      <c r="I28" s="14" t="s">
        <v>1339</v>
      </c>
    </row>
    <row r="29" customFormat="false" ht="15" hidden="false" customHeight="false" outlineLevel="0" collapsed="false">
      <c r="A29" s="14" t="s">
        <v>909</v>
      </c>
      <c r="B29" s="14" t="n">
        <v>16</v>
      </c>
      <c r="C29" s="14" t="n">
        <v>4</v>
      </c>
      <c r="D29" s="14" t="s">
        <v>1340</v>
      </c>
      <c r="E29" s="14" t="s">
        <v>170</v>
      </c>
      <c r="F29" s="14" t="s">
        <v>1306</v>
      </c>
      <c r="G29" s="14" t="s">
        <v>2020</v>
      </c>
      <c r="H29" s="14"/>
      <c r="I29" s="14" t="s">
        <v>1342</v>
      </c>
    </row>
    <row r="30" customFormat="false" ht="15" hidden="false" customHeight="false" outlineLevel="0" collapsed="false">
      <c r="A30" s="14" t="s">
        <v>909</v>
      </c>
      <c r="B30" s="14" t="n">
        <v>16</v>
      </c>
      <c r="C30" s="14" t="n">
        <v>1</v>
      </c>
      <c r="D30" s="14" t="s">
        <v>1343</v>
      </c>
      <c r="E30" s="15" t="s">
        <v>2021</v>
      </c>
      <c r="F30" s="14" t="s">
        <v>1306</v>
      </c>
      <c r="G30" s="14" t="s">
        <v>2022</v>
      </c>
      <c r="H30" s="14"/>
      <c r="I30" s="14" t="s">
        <v>1344</v>
      </c>
    </row>
    <row r="31" customFormat="false" ht="15" hidden="false" customHeight="false" outlineLevel="0" collapsed="false">
      <c r="A31" s="14" t="s">
        <v>909</v>
      </c>
      <c r="B31" s="14" t="n">
        <v>16</v>
      </c>
      <c r="C31" s="14" t="n">
        <v>2</v>
      </c>
      <c r="D31" s="14" t="s">
        <v>1345</v>
      </c>
      <c r="E31" s="15" t="s">
        <v>2021</v>
      </c>
      <c r="F31" s="14" t="s">
        <v>1292</v>
      </c>
      <c r="G31" s="14" t="s">
        <v>2023</v>
      </c>
      <c r="H31" s="14"/>
      <c r="I31" s="14" t="s">
        <v>1346</v>
      </c>
    </row>
    <row r="32" customFormat="false" ht="15" hidden="false" customHeight="false" outlineLevel="0" collapsed="false">
      <c r="A32" s="14" t="s">
        <v>909</v>
      </c>
      <c r="B32" s="14" t="n">
        <v>16</v>
      </c>
      <c r="C32" s="14" t="n">
        <v>3</v>
      </c>
      <c r="D32" s="14" t="s">
        <v>1347</v>
      </c>
      <c r="E32" s="15" t="s">
        <v>2021</v>
      </c>
      <c r="F32" s="14" t="s">
        <v>1647</v>
      </c>
      <c r="G32" s="14" t="s">
        <v>2005</v>
      </c>
      <c r="H32" s="14"/>
      <c r="I32" s="14" t="s">
        <v>1348</v>
      </c>
    </row>
    <row r="33" customFormat="false" ht="15" hidden="false" customHeight="false" outlineLevel="0" collapsed="false">
      <c r="A33" s="14" t="s">
        <v>909</v>
      </c>
      <c r="B33" s="14" t="n">
        <v>16</v>
      </c>
      <c r="C33" s="14" t="n">
        <v>4</v>
      </c>
      <c r="D33" s="14" t="s">
        <v>1349</v>
      </c>
      <c r="E33" s="15" t="s">
        <v>2021</v>
      </c>
      <c r="F33" s="14" t="s">
        <v>1292</v>
      </c>
      <c r="G33" s="14" t="s">
        <v>2024</v>
      </c>
      <c r="H33" s="14"/>
      <c r="I33" s="14" t="s">
        <v>1350</v>
      </c>
    </row>
    <row r="34" customFormat="false" ht="15" hidden="false" customHeight="false" outlineLevel="0" collapsed="false">
      <c r="A34" s="14" t="s">
        <v>914</v>
      </c>
      <c r="B34" s="14" t="n">
        <v>16</v>
      </c>
      <c r="C34" s="14" t="n">
        <v>2</v>
      </c>
      <c r="D34" s="14" t="s">
        <v>1331</v>
      </c>
      <c r="E34" s="14" t="s">
        <v>170</v>
      </c>
      <c r="F34" s="14" t="s">
        <v>1306</v>
      </c>
      <c r="G34" s="14" t="s">
        <v>2025</v>
      </c>
      <c r="H34" s="14"/>
      <c r="I34" s="14" t="s">
        <v>1351</v>
      </c>
    </row>
    <row r="35" customFormat="false" ht="15" hidden="false" customHeight="false" outlineLevel="0" collapsed="false">
      <c r="A35" s="14" t="s">
        <v>914</v>
      </c>
      <c r="B35" s="14" t="n">
        <v>16</v>
      </c>
      <c r="C35" s="14" t="n">
        <v>3</v>
      </c>
      <c r="D35" s="14" t="s">
        <v>1340</v>
      </c>
      <c r="E35" s="14" t="s">
        <v>170</v>
      </c>
      <c r="F35" s="14" t="s">
        <v>1335</v>
      </c>
      <c r="G35" s="14" t="s">
        <v>2026</v>
      </c>
      <c r="H35" s="14"/>
      <c r="I35" s="14" t="s">
        <v>1352</v>
      </c>
    </row>
    <row r="36" customFormat="false" ht="15" hidden="false" customHeight="false" outlineLevel="0" collapsed="false">
      <c r="A36" s="14" t="s">
        <v>914</v>
      </c>
      <c r="B36" s="14" t="n">
        <v>16</v>
      </c>
      <c r="C36" s="14" t="n">
        <v>1</v>
      </c>
      <c r="D36" s="14" t="s">
        <v>1353</v>
      </c>
      <c r="E36" s="15" t="s">
        <v>2021</v>
      </c>
      <c r="F36" s="14" t="s">
        <v>1306</v>
      </c>
      <c r="G36" s="14" t="s">
        <v>2027</v>
      </c>
      <c r="H36" s="7" t="s">
        <v>2028</v>
      </c>
      <c r="I36" s="14" t="s">
        <v>1354</v>
      </c>
    </row>
    <row r="37" customFormat="false" ht="15" hidden="false" customHeight="false" outlineLevel="0" collapsed="false">
      <c r="A37" s="14" t="s">
        <v>914</v>
      </c>
      <c r="B37" s="14" t="n">
        <v>16</v>
      </c>
      <c r="C37" s="14" t="n">
        <v>2</v>
      </c>
      <c r="D37" s="14" t="s">
        <v>1355</v>
      </c>
      <c r="E37" s="15" t="s">
        <v>2021</v>
      </c>
      <c r="F37" s="14" t="s">
        <v>1647</v>
      </c>
      <c r="G37" s="14" t="s">
        <v>2029</v>
      </c>
      <c r="H37" s="14"/>
      <c r="I37" s="14" t="s">
        <v>1356</v>
      </c>
    </row>
    <row r="38" customFormat="false" ht="15" hidden="false" customHeight="false" outlineLevel="0" collapsed="false">
      <c r="A38" s="14" t="s">
        <v>1357</v>
      </c>
      <c r="B38" s="14" t="n">
        <v>17</v>
      </c>
      <c r="C38" s="14" t="n">
        <v>1</v>
      </c>
      <c r="D38" s="14" t="s">
        <v>1358</v>
      </c>
      <c r="E38" s="14" t="s">
        <v>173</v>
      </c>
      <c r="F38" s="14" t="s">
        <v>1647</v>
      </c>
      <c r="G38" s="14" t="s">
        <v>2030</v>
      </c>
      <c r="H38" s="7" t="s">
        <v>2031</v>
      </c>
      <c r="I38" s="14" t="s">
        <v>1360</v>
      </c>
    </row>
    <row r="39" customFormat="false" ht="15" hidden="false" customHeight="false" outlineLevel="0" collapsed="false">
      <c r="A39" s="14" t="s">
        <v>1357</v>
      </c>
      <c r="B39" s="14" t="n">
        <v>17</v>
      </c>
      <c r="C39" s="14" t="n">
        <v>2</v>
      </c>
      <c r="D39" s="14" t="s">
        <v>1361</v>
      </c>
      <c r="E39" s="14" t="s">
        <v>173</v>
      </c>
      <c r="F39" s="14" t="s">
        <v>1292</v>
      </c>
      <c r="G39" s="14" t="s">
        <v>2001</v>
      </c>
      <c r="H39" s="14"/>
      <c r="I39" s="14" t="s">
        <v>1363</v>
      </c>
    </row>
    <row r="40" customFormat="false" ht="15" hidden="false" customHeight="false" outlineLevel="0" collapsed="false">
      <c r="A40" s="14" t="s">
        <v>1357</v>
      </c>
      <c r="B40" s="14" t="n">
        <v>17</v>
      </c>
      <c r="C40" s="14" t="n">
        <v>3</v>
      </c>
      <c r="D40" s="14" t="s">
        <v>1364</v>
      </c>
      <c r="E40" s="14" t="s">
        <v>173</v>
      </c>
      <c r="F40" s="14" t="s">
        <v>1306</v>
      </c>
      <c r="G40" s="14" t="s">
        <v>2032</v>
      </c>
      <c r="H40" s="14"/>
      <c r="I40" s="14" t="s">
        <v>1366</v>
      </c>
    </row>
    <row r="41" customFormat="false" ht="15" hidden="false" customHeight="false" outlineLevel="0" collapsed="false">
      <c r="A41" s="14" t="s">
        <v>1357</v>
      </c>
      <c r="B41" s="14" t="n">
        <v>17</v>
      </c>
      <c r="C41" s="14" t="n">
        <v>4</v>
      </c>
      <c r="D41" s="14" t="s">
        <v>1367</v>
      </c>
      <c r="E41" s="14" t="s">
        <v>173</v>
      </c>
      <c r="F41" s="14" t="s">
        <v>1292</v>
      </c>
      <c r="G41" s="14" t="s">
        <v>2001</v>
      </c>
      <c r="H41" s="14"/>
      <c r="I41" s="14" t="s">
        <v>1368</v>
      </c>
    </row>
    <row r="42" customFormat="false" ht="15" hidden="false" customHeight="false" outlineLevel="0" collapsed="false">
      <c r="A42" s="14" t="s">
        <v>1369</v>
      </c>
      <c r="B42" s="14" t="n">
        <v>25</v>
      </c>
      <c r="C42" s="14" t="n">
        <v>1</v>
      </c>
      <c r="D42" s="14" t="s">
        <v>1370</v>
      </c>
      <c r="E42" s="14" t="s">
        <v>256</v>
      </c>
      <c r="F42" s="14" t="s">
        <v>1389</v>
      </c>
      <c r="G42" s="14" t="s">
        <v>2008</v>
      </c>
      <c r="H42" s="14"/>
      <c r="I42" s="14" t="s">
        <v>1372</v>
      </c>
    </row>
    <row r="43" customFormat="false" ht="15" hidden="false" customHeight="false" outlineLevel="0" collapsed="false">
      <c r="A43" s="14" t="s">
        <v>1369</v>
      </c>
      <c r="B43" s="14" t="n">
        <v>25</v>
      </c>
      <c r="C43" s="14" t="n">
        <v>2</v>
      </c>
      <c r="D43" s="14" t="s">
        <v>1382</v>
      </c>
      <c r="E43" s="14" t="s">
        <v>251</v>
      </c>
      <c r="F43" s="14" t="s">
        <v>1383</v>
      </c>
      <c r="G43" s="14" t="s">
        <v>2033</v>
      </c>
      <c r="H43" s="14"/>
      <c r="I43" s="14" t="s">
        <v>1384</v>
      </c>
    </row>
    <row r="44" customFormat="false" ht="15" hidden="false" customHeight="false" outlineLevel="0" collapsed="false">
      <c r="A44" s="14" t="s">
        <v>1369</v>
      </c>
      <c r="B44" s="14" t="n">
        <v>25</v>
      </c>
      <c r="C44" s="14" t="n">
        <v>3</v>
      </c>
      <c r="D44" s="14" t="s">
        <v>1385</v>
      </c>
      <c r="E44" s="14" t="s">
        <v>251</v>
      </c>
      <c r="F44" s="14" t="s">
        <v>1386</v>
      </c>
      <c r="G44" s="14" t="s">
        <v>2034</v>
      </c>
      <c r="H44" s="14"/>
      <c r="I44" s="14" t="s">
        <v>1387</v>
      </c>
    </row>
    <row r="45" customFormat="false" ht="15" hidden="false" customHeight="false" outlineLevel="0" collapsed="false">
      <c r="A45" s="14" t="s">
        <v>1395</v>
      </c>
      <c r="B45" s="14" t="n">
        <v>29</v>
      </c>
      <c r="C45" s="14" t="n">
        <v>6</v>
      </c>
      <c r="D45" s="14" t="s">
        <v>1419</v>
      </c>
      <c r="E45" s="14"/>
      <c r="F45" s="14" t="s">
        <v>1420</v>
      </c>
      <c r="G45" s="14" t="s">
        <v>2001</v>
      </c>
      <c r="H45" s="14"/>
      <c r="I45" s="14" t="s">
        <v>1421</v>
      </c>
    </row>
    <row r="46" customFormat="false" ht="15" hidden="false" customHeight="false" outlineLevel="0" collapsed="false">
      <c r="A46" s="14" t="s">
        <v>1430</v>
      </c>
      <c r="B46" s="14" t="n">
        <v>30</v>
      </c>
      <c r="C46" s="14" t="n">
        <v>3</v>
      </c>
      <c r="D46" s="14" t="s">
        <v>1107</v>
      </c>
      <c r="E46" s="14" t="s">
        <v>104</v>
      </c>
      <c r="F46" s="14" t="s">
        <v>1435</v>
      </c>
      <c r="G46" s="14" t="s">
        <v>2035</v>
      </c>
      <c r="H46" s="14"/>
      <c r="I46" s="14" t="s">
        <v>1436</v>
      </c>
    </row>
    <row r="47" customFormat="false" ht="15" hidden="false" customHeight="false" outlineLevel="0" collapsed="false">
      <c r="A47" s="14" t="s">
        <v>1430</v>
      </c>
      <c r="B47" s="14" t="n">
        <v>30</v>
      </c>
      <c r="C47" s="14" t="n">
        <v>1</v>
      </c>
      <c r="D47" s="14" t="s">
        <v>1437</v>
      </c>
      <c r="E47" s="1" t="s">
        <v>176</v>
      </c>
      <c r="F47" s="14" t="s">
        <v>1647</v>
      </c>
      <c r="G47" s="14" t="s">
        <v>2005</v>
      </c>
      <c r="H47" s="14"/>
      <c r="I47" s="14" t="s">
        <v>1438</v>
      </c>
    </row>
    <row r="48" customFormat="false" ht="15" hidden="false" customHeight="false" outlineLevel="0" collapsed="false">
      <c r="A48" s="14" t="s">
        <v>1430</v>
      </c>
      <c r="B48" s="14" t="n">
        <v>30</v>
      </c>
      <c r="C48" s="14" t="n">
        <v>2</v>
      </c>
      <c r="D48" s="14" t="s">
        <v>1439</v>
      </c>
      <c r="E48" s="1" t="s">
        <v>176</v>
      </c>
      <c r="F48" s="14" t="s">
        <v>1306</v>
      </c>
      <c r="G48" s="14" t="s">
        <v>2036</v>
      </c>
      <c r="H48" s="14"/>
      <c r="I48" s="14" t="s">
        <v>1440</v>
      </c>
    </row>
    <row r="49" customFormat="false" ht="15" hidden="false" customHeight="false" outlineLevel="0" collapsed="false">
      <c r="A49" s="14" t="s">
        <v>1430</v>
      </c>
      <c r="B49" s="14" t="n">
        <v>30</v>
      </c>
      <c r="C49" s="14" t="n">
        <v>3</v>
      </c>
      <c r="D49" s="14" t="s">
        <v>1107</v>
      </c>
      <c r="E49" s="1" t="s">
        <v>176</v>
      </c>
      <c r="F49" s="14" t="s">
        <v>1335</v>
      </c>
      <c r="G49" s="14" t="s">
        <v>2008</v>
      </c>
      <c r="H49" s="14"/>
      <c r="I49" s="14" t="s">
        <v>1441</v>
      </c>
    </row>
    <row r="50" customFormat="false" ht="15" hidden="false" customHeight="false" outlineLevel="0" collapsed="false">
      <c r="A50" s="14" t="s">
        <v>1442</v>
      </c>
      <c r="B50" s="14" t="n">
        <v>31</v>
      </c>
      <c r="C50" s="14" t="n">
        <v>1</v>
      </c>
      <c r="D50" s="14" t="s">
        <v>1443</v>
      </c>
      <c r="E50" s="14" t="s">
        <v>296</v>
      </c>
      <c r="F50" s="14" t="s">
        <v>1647</v>
      </c>
      <c r="G50" s="14" t="s">
        <v>2037</v>
      </c>
      <c r="H50" s="14"/>
      <c r="I50" s="14" t="s">
        <v>1444</v>
      </c>
    </row>
    <row r="51" customFormat="false" ht="15" hidden="false" customHeight="false" outlineLevel="0" collapsed="false">
      <c r="A51" s="14" t="s">
        <v>1442</v>
      </c>
      <c r="B51" s="14" t="n">
        <v>31</v>
      </c>
      <c r="C51" s="14" t="n">
        <v>2</v>
      </c>
      <c r="D51" s="14" t="s">
        <v>1445</v>
      </c>
      <c r="E51" s="1" t="s">
        <v>296</v>
      </c>
      <c r="F51" s="14" t="s">
        <v>1292</v>
      </c>
      <c r="G51" s="14" t="s">
        <v>2008</v>
      </c>
      <c r="H51" s="14"/>
      <c r="I51" s="14" t="s">
        <v>1447</v>
      </c>
    </row>
    <row r="52" customFormat="false" ht="15" hidden="false" customHeight="false" outlineLevel="0" collapsed="false">
      <c r="A52" s="14" t="s">
        <v>1442</v>
      </c>
      <c r="B52" s="14" t="n">
        <v>31</v>
      </c>
      <c r="C52" s="14" t="n">
        <v>3</v>
      </c>
      <c r="D52" s="14" t="s">
        <v>1448</v>
      </c>
      <c r="E52" s="1" t="s">
        <v>296</v>
      </c>
      <c r="F52" s="14" t="s">
        <v>1306</v>
      </c>
      <c r="G52" s="14" t="s">
        <v>2008</v>
      </c>
      <c r="H52" s="14"/>
      <c r="I52" s="14" t="s">
        <v>1449</v>
      </c>
    </row>
    <row r="53" customFormat="false" ht="15" hidden="false" customHeight="false" outlineLevel="0" collapsed="false">
      <c r="A53" s="14" t="s">
        <v>1442</v>
      </c>
      <c r="B53" s="14" t="n">
        <v>31</v>
      </c>
      <c r="C53" s="14" t="n">
        <v>4</v>
      </c>
      <c r="D53" s="14" t="s">
        <v>1450</v>
      </c>
      <c r="E53" s="1" t="s">
        <v>296</v>
      </c>
      <c r="F53" s="14" t="s">
        <v>1292</v>
      </c>
      <c r="G53" s="14" t="s">
        <v>2008</v>
      </c>
      <c r="H53" s="14"/>
      <c r="I53" s="14" t="s">
        <v>1451</v>
      </c>
    </row>
    <row r="54" customFormat="false" ht="15" hidden="false" customHeight="false" outlineLevel="0" collapsed="false">
      <c r="A54" s="14" t="s">
        <v>1452</v>
      </c>
      <c r="B54" s="14" t="n">
        <v>31</v>
      </c>
      <c r="C54" s="14" t="n">
        <v>1</v>
      </c>
      <c r="D54" s="14" t="s">
        <v>1453</v>
      </c>
      <c r="E54" s="1" t="s">
        <v>296</v>
      </c>
      <c r="F54" s="14" t="s">
        <v>1292</v>
      </c>
      <c r="G54" s="14" t="s">
        <v>2008</v>
      </c>
      <c r="H54" s="14"/>
      <c r="I54" s="14" t="s">
        <v>1455</v>
      </c>
    </row>
    <row r="55" customFormat="false" ht="15" hidden="false" customHeight="false" outlineLevel="0" collapsed="false">
      <c r="A55" s="14" t="s">
        <v>1452</v>
      </c>
      <c r="B55" s="14" t="n">
        <v>31</v>
      </c>
      <c r="C55" s="14" t="n">
        <v>2</v>
      </c>
      <c r="D55" s="14" t="s">
        <v>1456</v>
      </c>
      <c r="E55" s="14" t="s">
        <v>296</v>
      </c>
      <c r="F55" s="14" t="s">
        <v>1647</v>
      </c>
      <c r="G55" s="14" t="s">
        <v>2008</v>
      </c>
      <c r="H55" s="14"/>
      <c r="I55" s="14" t="s">
        <v>1457</v>
      </c>
    </row>
    <row r="56" customFormat="false" ht="15" hidden="false" customHeight="false" outlineLevel="0" collapsed="false">
      <c r="A56" s="14" t="s">
        <v>1452</v>
      </c>
      <c r="B56" s="14" t="n">
        <v>31</v>
      </c>
      <c r="C56" s="14" t="n">
        <v>3</v>
      </c>
      <c r="D56" s="14" t="s">
        <v>1458</v>
      </c>
      <c r="E56" s="14" t="s">
        <v>296</v>
      </c>
      <c r="F56" s="14" t="s">
        <v>1306</v>
      </c>
      <c r="G56" s="14" t="s">
        <v>2038</v>
      </c>
      <c r="H56" s="14"/>
      <c r="I56" s="14" t="s">
        <v>1459</v>
      </c>
    </row>
    <row r="57" customFormat="false" ht="15" hidden="false" customHeight="false" outlineLevel="0" collapsed="false">
      <c r="A57" s="14" t="s">
        <v>1460</v>
      </c>
      <c r="B57" s="14" t="n">
        <v>39</v>
      </c>
      <c r="C57" s="14" t="n">
        <v>1</v>
      </c>
      <c r="D57" s="14" t="s">
        <v>1461</v>
      </c>
      <c r="E57" s="14" t="s">
        <v>342</v>
      </c>
      <c r="F57" s="14" t="s">
        <v>1647</v>
      </c>
      <c r="G57" s="14" t="s">
        <v>2005</v>
      </c>
      <c r="H57" s="14"/>
      <c r="I57" s="14" t="s">
        <v>1462</v>
      </c>
    </row>
    <row r="58" customFormat="false" ht="15" hidden="false" customHeight="false" outlineLevel="0" collapsed="false">
      <c r="A58" s="14" t="s">
        <v>1460</v>
      </c>
      <c r="B58" s="14" t="n">
        <v>39</v>
      </c>
      <c r="C58" s="14" t="n">
        <v>2</v>
      </c>
      <c r="D58" s="14" t="s">
        <v>1463</v>
      </c>
      <c r="E58" s="14" t="s">
        <v>342</v>
      </c>
      <c r="F58" s="14" t="s">
        <v>1292</v>
      </c>
      <c r="G58" s="14" t="s">
        <v>2039</v>
      </c>
      <c r="H58" s="14"/>
      <c r="I58" s="14" t="s">
        <v>1464</v>
      </c>
    </row>
    <row r="59" customFormat="false" ht="15" hidden="false" customHeight="false" outlineLevel="0" collapsed="false">
      <c r="A59" s="14" t="s">
        <v>1460</v>
      </c>
      <c r="B59" s="14" t="n">
        <v>39</v>
      </c>
      <c r="C59" s="14" t="n">
        <v>3</v>
      </c>
      <c r="D59" s="14" t="s">
        <v>1465</v>
      </c>
      <c r="E59" s="14" t="s">
        <v>342</v>
      </c>
      <c r="F59" s="14" t="s">
        <v>1647</v>
      </c>
      <c r="G59" s="14" t="s">
        <v>2005</v>
      </c>
      <c r="H59" s="14"/>
      <c r="I59" s="14" t="s">
        <v>1466</v>
      </c>
    </row>
    <row r="60" customFormat="false" ht="15" hidden="false" customHeight="false" outlineLevel="0" collapsed="false">
      <c r="A60" s="14" t="s">
        <v>1460</v>
      </c>
      <c r="B60" s="14" t="n">
        <v>39</v>
      </c>
      <c r="C60" s="14" t="n">
        <v>4</v>
      </c>
      <c r="D60" s="14" t="s">
        <v>1467</v>
      </c>
      <c r="E60" s="14" t="s">
        <v>342</v>
      </c>
      <c r="F60" s="14" t="s">
        <v>1306</v>
      </c>
      <c r="G60" s="14" t="s">
        <v>2001</v>
      </c>
      <c r="H60" s="14"/>
      <c r="I60" s="14" t="s">
        <v>1469</v>
      </c>
    </row>
    <row r="61" customFormat="false" ht="15" hidden="false" customHeight="false" outlineLevel="0" collapsed="false">
      <c r="A61" s="14" t="s">
        <v>1473</v>
      </c>
      <c r="B61" s="14" t="n">
        <v>39</v>
      </c>
      <c r="C61" s="14" t="n">
        <v>3</v>
      </c>
      <c r="D61" s="14" t="s">
        <v>1461</v>
      </c>
      <c r="E61" s="14" t="s">
        <v>342</v>
      </c>
      <c r="F61" s="14" t="s">
        <v>1389</v>
      </c>
      <c r="G61" s="14" t="s">
        <v>2008</v>
      </c>
      <c r="H61" s="14"/>
      <c r="I61" s="14" t="s">
        <v>1478</v>
      </c>
    </row>
    <row r="62" customFormat="false" ht="15" hidden="false" customHeight="false" outlineLevel="0" collapsed="false">
      <c r="A62" s="14" t="s">
        <v>1488</v>
      </c>
      <c r="B62" s="14" t="n">
        <v>44</v>
      </c>
      <c r="C62" s="14" t="n">
        <v>3</v>
      </c>
      <c r="D62" s="14" t="s">
        <v>1495</v>
      </c>
      <c r="E62" s="14" t="s">
        <v>383</v>
      </c>
      <c r="F62" s="14" t="s">
        <v>1496</v>
      </c>
      <c r="G62" s="14" t="s">
        <v>2001</v>
      </c>
      <c r="H62" s="14"/>
      <c r="I62" s="14" t="s">
        <v>1497</v>
      </c>
    </row>
    <row r="63" customFormat="false" ht="15" hidden="false" customHeight="false" outlineLevel="0" collapsed="false">
      <c r="A63" s="14" t="s">
        <v>1498</v>
      </c>
      <c r="B63" s="14" t="n">
        <v>44</v>
      </c>
      <c r="C63" s="14" t="n">
        <v>2</v>
      </c>
      <c r="D63" s="14" t="s">
        <v>1499</v>
      </c>
      <c r="E63" s="14" t="s">
        <v>383</v>
      </c>
      <c r="F63" s="14" t="s">
        <v>1306</v>
      </c>
      <c r="G63" s="14" t="s">
        <v>2001</v>
      </c>
      <c r="H63" s="14"/>
      <c r="I63" s="14" t="s">
        <v>1501</v>
      </c>
    </row>
    <row r="64" customFormat="false" ht="15" hidden="false" customHeight="false" outlineLevel="0" collapsed="false">
      <c r="A64" s="14" t="s">
        <v>1502</v>
      </c>
      <c r="B64" s="14" t="n">
        <v>45</v>
      </c>
      <c r="C64" s="14" t="n">
        <v>1</v>
      </c>
      <c r="D64" s="14" t="s">
        <v>1503</v>
      </c>
      <c r="E64" s="14" t="s">
        <v>389</v>
      </c>
      <c r="F64" s="14" t="s">
        <v>1306</v>
      </c>
      <c r="G64" s="14" t="s">
        <v>5</v>
      </c>
      <c r="H64" s="7" t="s">
        <v>2040</v>
      </c>
      <c r="I64" s="14" t="s">
        <v>1505</v>
      </c>
    </row>
    <row r="65" customFormat="false" ht="15" hidden="false" customHeight="false" outlineLevel="0" collapsed="false">
      <c r="A65" s="14" t="s">
        <v>1502</v>
      </c>
      <c r="B65" s="14" t="n">
        <v>45</v>
      </c>
      <c r="C65" s="14" t="n">
        <v>2</v>
      </c>
      <c r="D65" s="14" t="s">
        <v>1506</v>
      </c>
      <c r="E65" s="14" t="s">
        <v>389</v>
      </c>
      <c r="F65" s="14" t="s">
        <v>1647</v>
      </c>
      <c r="G65" s="14" t="s">
        <v>2005</v>
      </c>
      <c r="H65" s="14"/>
      <c r="I65" s="14" t="s">
        <v>2041</v>
      </c>
    </row>
    <row r="66" customFormat="false" ht="15" hidden="false" customHeight="false" outlineLevel="0" collapsed="false">
      <c r="A66" s="14" t="s">
        <v>1509</v>
      </c>
      <c r="B66" s="14" t="n">
        <v>45</v>
      </c>
      <c r="C66" s="14" t="n">
        <v>3</v>
      </c>
      <c r="D66" s="14" t="s">
        <v>1503</v>
      </c>
      <c r="E66" s="14" t="s">
        <v>389</v>
      </c>
      <c r="F66" s="14" t="s">
        <v>1515</v>
      </c>
      <c r="G66" s="14" t="s">
        <v>2001</v>
      </c>
      <c r="H66" s="14"/>
      <c r="I66" s="14" t="s">
        <v>1516</v>
      </c>
    </row>
    <row r="67" customFormat="false" ht="15" hidden="false" customHeight="false" outlineLevel="0" collapsed="false">
      <c r="A67" s="14" t="s">
        <v>1509</v>
      </c>
      <c r="B67" s="14" t="n">
        <v>45</v>
      </c>
      <c r="C67" s="14" t="n">
        <v>4</v>
      </c>
      <c r="D67" s="14" t="s">
        <v>1517</v>
      </c>
      <c r="E67" s="1" t="s">
        <v>389</v>
      </c>
      <c r="F67" s="14" t="s">
        <v>1518</v>
      </c>
      <c r="G67" s="14" t="s">
        <v>2001</v>
      </c>
      <c r="H67" s="14"/>
      <c r="I67" s="14" t="s">
        <v>1519</v>
      </c>
    </row>
    <row r="68" customFormat="false" ht="15" hidden="false" customHeight="false" outlineLevel="0" collapsed="false">
      <c r="A68" s="14" t="s">
        <v>1520</v>
      </c>
      <c r="B68" s="14" t="n">
        <v>47</v>
      </c>
      <c r="C68" s="14" t="n">
        <v>1</v>
      </c>
      <c r="D68" s="14" t="s">
        <v>1521</v>
      </c>
      <c r="E68" s="1" t="s">
        <v>392</v>
      </c>
      <c r="F68" s="14" t="s">
        <v>1522</v>
      </c>
      <c r="G68" s="14" t="s">
        <v>2005</v>
      </c>
      <c r="H68" s="14"/>
      <c r="I68" s="14" t="s">
        <v>1523</v>
      </c>
    </row>
    <row r="69" customFormat="false" ht="15" hidden="false" customHeight="false" outlineLevel="0" collapsed="false">
      <c r="A69" s="14" t="s">
        <v>1520</v>
      </c>
      <c r="B69" s="14" t="n">
        <v>47</v>
      </c>
      <c r="C69" s="14" t="n">
        <v>2</v>
      </c>
      <c r="D69" s="14" t="s">
        <v>1524</v>
      </c>
      <c r="E69" s="1"/>
      <c r="F69" s="14" t="s">
        <v>1522</v>
      </c>
      <c r="G69" s="14" t="s">
        <v>2005</v>
      </c>
      <c r="H69" s="14"/>
      <c r="I69" s="14" t="s">
        <v>1525</v>
      </c>
    </row>
    <row r="70" customFormat="false" ht="15" hidden="false" customHeight="false" outlineLevel="0" collapsed="false">
      <c r="A70" s="14" t="s">
        <v>1520</v>
      </c>
      <c r="B70" s="14" t="n">
        <v>47</v>
      </c>
      <c r="C70" s="14" t="n">
        <v>3</v>
      </c>
      <c r="D70" s="14" t="s">
        <v>1526</v>
      </c>
      <c r="E70" s="1"/>
      <c r="F70" s="14" t="s">
        <v>1647</v>
      </c>
      <c r="G70" s="14" t="s">
        <v>2042</v>
      </c>
      <c r="H70" s="14"/>
      <c r="I70" s="14" t="s">
        <v>1527</v>
      </c>
    </row>
    <row r="71" customFormat="false" ht="15" hidden="false" customHeight="false" outlineLevel="0" collapsed="false">
      <c r="A71" s="14" t="s">
        <v>1520</v>
      </c>
      <c r="B71" s="14" t="n">
        <v>47</v>
      </c>
      <c r="C71" s="14" t="n">
        <v>6</v>
      </c>
      <c r="D71" s="14" t="s">
        <v>1534</v>
      </c>
      <c r="E71" s="1"/>
      <c r="F71" s="14" t="s">
        <v>1535</v>
      </c>
      <c r="G71" s="14" t="s">
        <v>1126</v>
      </c>
      <c r="H71" s="7" t="s">
        <v>2043</v>
      </c>
      <c r="I71" s="14" t="s">
        <v>1536</v>
      </c>
    </row>
    <row r="72" customFormat="false" ht="15" hidden="false" customHeight="false" outlineLevel="0" collapsed="false">
      <c r="A72" s="14" t="s">
        <v>1537</v>
      </c>
      <c r="B72" s="14" t="n">
        <v>47</v>
      </c>
      <c r="C72" s="14" t="n">
        <v>5</v>
      </c>
      <c r="D72" s="14" t="s">
        <v>1547</v>
      </c>
      <c r="E72" s="1"/>
      <c r="F72" s="14" t="s">
        <v>1647</v>
      </c>
      <c r="G72" s="14" t="s">
        <v>2001</v>
      </c>
      <c r="H72" s="14"/>
      <c r="I72" s="14" t="s">
        <v>1549</v>
      </c>
    </row>
    <row r="73" customFormat="false" ht="15" hidden="false" customHeight="false" outlineLevel="0" collapsed="false">
      <c r="A73" s="14" t="s">
        <v>1550</v>
      </c>
      <c r="B73" s="14" t="n">
        <v>47</v>
      </c>
      <c r="C73" s="14" t="n">
        <v>3</v>
      </c>
      <c r="D73" s="14" t="s">
        <v>1526</v>
      </c>
      <c r="E73" s="1"/>
      <c r="F73" s="14" t="s">
        <v>1555</v>
      </c>
      <c r="G73" s="14" t="s">
        <v>2001</v>
      </c>
      <c r="H73" s="14"/>
      <c r="I73" s="14" t="s">
        <v>1556</v>
      </c>
    </row>
    <row r="74" customFormat="false" ht="15" hidden="false" customHeight="false" outlineLevel="0" collapsed="false">
      <c r="A74" s="14" t="s">
        <v>1566</v>
      </c>
      <c r="B74" s="14" t="n">
        <v>49</v>
      </c>
      <c r="C74" s="14" t="n">
        <v>3</v>
      </c>
      <c r="D74" s="14" t="s">
        <v>1571</v>
      </c>
      <c r="E74" s="14" t="s">
        <v>402</v>
      </c>
      <c r="F74" s="14" t="s">
        <v>1572</v>
      </c>
      <c r="G74" s="14" t="s">
        <v>2005</v>
      </c>
      <c r="H74" s="14"/>
      <c r="I74" s="14" t="s">
        <v>1573</v>
      </c>
    </row>
    <row r="75" customFormat="false" ht="15" hidden="false" customHeight="false" outlineLevel="0" collapsed="false">
      <c r="A75" s="14" t="s">
        <v>1574</v>
      </c>
      <c r="B75" s="14" t="n">
        <v>49</v>
      </c>
      <c r="C75" s="14" t="n">
        <v>1</v>
      </c>
      <c r="D75" s="14" t="s">
        <v>1575</v>
      </c>
      <c r="E75" s="14" t="s">
        <v>2044</v>
      </c>
      <c r="F75" s="14" t="s">
        <v>1389</v>
      </c>
      <c r="G75" s="14" t="s">
        <v>2033</v>
      </c>
      <c r="H75" s="14"/>
      <c r="I75" s="14" t="s">
        <v>1576</v>
      </c>
    </row>
    <row r="76" customFormat="false" ht="15" hidden="false" customHeight="false" outlineLevel="0" collapsed="false">
      <c r="A76" s="14" t="s">
        <v>1574</v>
      </c>
      <c r="B76" s="14" t="n">
        <v>49</v>
      </c>
      <c r="C76" s="14" t="n">
        <v>3</v>
      </c>
      <c r="D76" s="14" t="s">
        <v>1579</v>
      </c>
      <c r="E76" s="14" t="s">
        <v>2045</v>
      </c>
      <c r="F76" s="14" t="s">
        <v>1580</v>
      </c>
      <c r="G76" s="14" t="s">
        <v>2005</v>
      </c>
      <c r="H76" s="14"/>
      <c r="I76" s="14" t="s">
        <v>1581</v>
      </c>
    </row>
    <row r="77" customFormat="false" ht="15" hidden="false" customHeight="false" outlineLevel="0" collapsed="false">
      <c r="A77" s="14" t="s">
        <v>1013</v>
      </c>
      <c r="B77" s="14" t="n">
        <v>52</v>
      </c>
      <c r="C77" s="14" t="n">
        <v>1</v>
      </c>
      <c r="D77" s="14" t="s">
        <v>1584</v>
      </c>
      <c r="E77" s="34" t="s">
        <v>438</v>
      </c>
      <c r="F77" s="14" t="s">
        <v>1647</v>
      </c>
      <c r="G77" s="14" t="s">
        <v>2033</v>
      </c>
      <c r="H77" s="14"/>
      <c r="I77" s="14" t="s">
        <v>2046</v>
      </c>
    </row>
    <row r="78" customFormat="false" ht="15" hidden="false" customHeight="false" outlineLevel="0" collapsed="false">
      <c r="A78" s="14" t="s">
        <v>1013</v>
      </c>
      <c r="B78" s="14" t="n">
        <v>52</v>
      </c>
      <c r="C78" s="14" t="n">
        <v>1</v>
      </c>
      <c r="D78" s="14" t="s">
        <v>1228</v>
      </c>
      <c r="E78" s="14" t="s">
        <v>448</v>
      </c>
      <c r="F78" s="14" t="s">
        <v>1588</v>
      </c>
      <c r="G78" s="14" t="s">
        <v>2047</v>
      </c>
      <c r="H78" s="14"/>
      <c r="I78" s="14" t="s">
        <v>1589</v>
      </c>
    </row>
    <row r="79" customFormat="false" ht="15" hidden="false" customHeight="false" outlineLevel="0" collapsed="false">
      <c r="A79" s="14" t="s">
        <v>1013</v>
      </c>
      <c r="B79" s="14" t="n">
        <v>52</v>
      </c>
      <c r="C79" s="14" t="n">
        <v>2</v>
      </c>
      <c r="D79" s="14" t="s">
        <v>1030</v>
      </c>
      <c r="E79" s="14" t="s">
        <v>448</v>
      </c>
      <c r="F79" s="14" t="s">
        <v>1590</v>
      </c>
      <c r="G79" s="14" t="s">
        <v>2006</v>
      </c>
      <c r="H79" s="14"/>
      <c r="I79" s="14" t="s">
        <v>1591</v>
      </c>
    </row>
    <row r="80" customFormat="false" ht="15" hidden="false" customHeight="false" outlineLevel="0" collapsed="false">
      <c r="A80" s="14" t="s">
        <v>1013</v>
      </c>
      <c r="B80" s="14" t="n">
        <v>52</v>
      </c>
      <c r="C80" s="14" t="n">
        <v>1</v>
      </c>
      <c r="D80" s="15" t="s">
        <v>2048</v>
      </c>
      <c r="E80" s="14" t="s">
        <v>428</v>
      </c>
      <c r="F80" s="14" t="s">
        <v>1647</v>
      </c>
      <c r="G80" s="14" t="s">
        <v>2049</v>
      </c>
      <c r="H80" s="14"/>
      <c r="I80" s="14" t="s">
        <v>1603</v>
      </c>
    </row>
    <row r="81" customFormat="false" ht="15" hidden="false" customHeight="false" outlineLevel="0" collapsed="false">
      <c r="A81" s="14" t="s">
        <v>1013</v>
      </c>
      <c r="B81" s="14" t="n">
        <v>52</v>
      </c>
      <c r="C81" s="14" t="n">
        <v>2</v>
      </c>
      <c r="D81" s="15" t="s">
        <v>2050</v>
      </c>
      <c r="E81" s="14" t="s">
        <v>428</v>
      </c>
      <c r="F81" s="14" t="s">
        <v>1306</v>
      </c>
      <c r="G81" s="14" t="s">
        <v>2051</v>
      </c>
      <c r="H81" s="14"/>
      <c r="I81" s="14" t="s">
        <v>1605</v>
      </c>
    </row>
    <row r="82" customFormat="false" ht="15" hidden="false" customHeight="false" outlineLevel="0" collapsed="false">
      <c r="A82" s="14" t="s">
        <v>1013</v>
      </c>
      <c r="B82" s="14" t="n">
        <v>52</v>
      </c>
      <c r="C82" s="14" t="n">
        <v>3</v>
      </c>
      <c r="D82" s="15" t="s">
        <v>2052</v>
      </c>
      <c r="E82" s="14" t="s">
        <v>428</v>
      </c>
      <c r="F82" s="14" t="s">
        <v>1292</v>
      </c>
      <c r="G82" s="14" t="s">
        <v>2008</v>
      </c>
      <c r="H82" s="14"/>
      <c r="I82" s="14" t="s">
        <v>1608</v>
      </c>
    </row>
    <row r="83" customFormat="false" ht="15" hidden="false" customHeight="false" outlineLevel="0" collapsed="false">
      <c r="A83" s="14" t="s">
        <v>1016</v>
      </c>
      <c r="B83" s="14" t="n">
        <v>52</v>
      </c>
      <c r="C83" s="14" t="n">
        <v>4</v>
      </c>
      <c r="D83" s="14" t="s">
        <v>970</v>
      </c>
      <c r="E83" s="34" t="s">
        <v>466</v>
      </c>
      <c r="F83" s="14" t="s">
        <v>1306</v>
      </c>
      <c r="G83" s="14" t="s">
        <v>2053</v>
      </c>
      <c r="H83" s="14"/>
      <c r="I83" s="14" t="s">
        <v>1616</v>
      </c>
    </row>
    <row r="84" customFormat="false" ht="15" hidden="false" customHeight="false" outlineLevel="0" collapsed="false">
      <c r="A84" s="14" t="s">
        <v>1016</v>
      </c>
      <c r="B84" s="14" t="n">
        <v>52</v>
      </c>
      <c r="C84" s="14" t="n">
        <v>5</v>
      </c>
      <c r="D84" s="14" t="s">
        <v>1617</v>
      </c>
      <c r="E84" s="1" t="s">
        <v>466</v>
      </c>
      <c r="F84" s="14" t="s">
        <v>1306</v>
      </c>
      <c r="G84" s="14" t="s">
        <v>2054</v>
      </c>
      <c r="H84" s="7" t="s">
        <v>2055</v>
      </c>
      <c r="I84" s="14" t="s">
        <v>1618</v>
      </c>
    </row>
    <row r="85" customFormat="false" ht="15" hidden="false" customHeight="false" outlineLevel="0" collapsed="false">
      <c r="A85" s="14" t="s">
        <v>1016</v>
      </c>
      <c r="B85" s="14" t="n">
        <v>52</v>
      </c>
      <c r="C85" s="14" t="n">
        <v>6</v>
      </c>
      <c r="D85" s="14" t="s">
        <v>1056</v>
      </c>
      <c r="E85" s="14" t="s">
        <v>466</v>
      </c>
      <c r="F85" s="14" t="s">
        <v>1619</v>
      </c>
      <c r="G85" s="14" t="s">
        <v>2056</v>
      </c>
      <c r="H85" s="14"/>
      <c r="I85" s="14" t="s">
        <v>1620</v>
      </c>
    </row>
    <row r="86" customFormat="false" ht="15" hidden="false" customHeight="false" outlineLevel="0" collapsed="false">
      <c r="A86" s="14" t="s">
        <v>1016</v>
      </c>
      <c r="B86" s="14" t="n">
        <v>52</v>
      </c>
      <c r="C86" s="14" t="n">
        <v>1</v>
      </c>
      <c r="D86" s="14" t="s">
        <v>1022</v>
      </c>
      <c r="E86" s="14" t="s">
        <v>420</v>
      </c>
      <c r="F86" s="14" t="s">
        <v>1621</v>
      </c>
      <c r="G86" s="14" t="s">
        <v>2056</v>
      </c>
      <c r="H86" s="14"/>
      <c r="I86" s="14" t="s">
        <v>1622</v>
      </c>
    </row>
    <row r="87" customFormat="false" ht="15" hidden="false" customHeight="false" outlineLevel="0" collapsed="false">
      <c r="A87" s="14" t="s">
        <v>1016</v>
      </c>
      <c r="B87" s="14" t="n">
        <v>52</v>
      </c>
      <c r="C87" s="14" t="n">
        <v>2</v>
      </c>
      <c r="D87" s="14" t="s">
        <v>1600</v>
      </c>
      <c r="E87" s="1" t="s">
        <v>420</v>
      </c>
      <c r="F87" s="14" t="s">
        <v>1621</v>
      </c>
      <c r="G87" s="14" t="s">
        <v>2056</v>
      </c>
      <c r="H87" s="14"/>
      <c r="I87" s="14" t="s">
        <v>1623</v>
      </c>
    </row>
    <row r="88" customFormat="false" ht="15" hidden="false" customHeight="false" outlineLevel="0" collapsed="false">
      <c r="A88" s="14" t="s">
        <v>1016</v>
      </c>
      <c r="B88" s="14" t="n">
        <v>52</v>
      </c>
      <c r="C88" s="14" t="n">
        <v>3</v>
      </c>
      <c r="D88" s="14" t="s">
        <v>928</v>
      </c>
      <c r="E88" s="1" t="s">
        <v>420</v>
      </c>
      <c r="F88" s="14" t="s">
        <v>1621</v>
      </c>
      <c r="G88" s="14" t="s">
        <v>2056</v>
      </c>
      <c r="H88" s="14"/>
      <c r="I88" s="14" t="s">
        <v>1624</v>
      </c>
    </row>
    <row r="89" customFormat="false" ht="15" hidden="false" customHeight="false" outlineLevel="0" collapsed="false">
      <c r="A89" s="14" t="s">
        <v>1016</v>
      </c>
      <c r="B89" s="14" t="n">
        <v>52</v>
      </c>
      <c r="C89" s="14" t="n">
        <v>4</v>
      </c>
      <c r="D89" s="14" t="s">
        <v>1020</v>
      </c>
      <c r="E89" s="1" t="s">
        <v>420</v>
      </c>
      <c r="F89" s="14" t="s">
        <v>1621</v>
      </c>
      <c r="G89" s="14" t="s">
        <v>2056</v>
      </c>
      <c r="H89" s="14"/>
      <c r="I89" s="14" t="s">
        <v>1625</v>
      </c>
    </row>
    <row r="90" customFormat="false" ht="15" hidden="false" customHeight="false" outlineLevel="0" collapsed="false">
      <c r="A90" s="14" t="s">
        <v>1016</v>
      </c>
      <c r="B90" s="14" t="n">
        <v>52</v>
      </c>
      <c r="C90" s="14" t="n">
        <v>5</v>
      </c>
      <c r="D90" s="14" t="s">
        <v>1058</v>
      </c>
      <c r="E90" s="1" t="s">
        <v>420</v>
      </c>
      <c r="F90" s="14" t="s">
        <v>1292</v>
      </c>
      <c r="G90" s="14" t="s">
        <v>2057</v>
      </c>
      <c r="H90" s="14"/>
      <c r="I90" s="14" t="s">
        <v>1627</v>
      </c>
    </row>
    <row r="91" customFormat="false" ht="15" hidden="false" customHeight="false" outlineLevel="0" collapsed="false">
      <c r="A91" s="14" t="s">
        <v>1029</v>
      </c>
      <c r="B91" s="14" t="n">
        <v>52</v>
      </c>
      <c r="C91" s="14" t="n">
        <v>6</v>
      </c>
      <c r="D91" s="14" t="s">
        <v>1643</v>
      </c>
      <c r="E91" s="34" t="s">
        <v>438</v>
      </c>
      <c r="F91" s="14" t="s">
        <v>1644</v>
      </c>
      <c r="G91" s="14" t="s">
        <v>2033</v>
      </c>
      <c r="H91" s="14"/>
      <c r="I91" s="14" t="s">
        <v>1645</v>
      </c>
    </row>
    <row r="92" customFormat="false" ht="15" hidden="false" customHeight="false" outlineLevel="0" collapsed="false">
      <c r="A92" s="14" t="s">
        <v>1029</v>
      </c>
      <c r="B92" s="14" t="n">
        <v>52</v>
      </c>
      <c r="C92" s="14" t="n">
        <v>7</v>
      </c>
      <c r="D92" s="14" t="s">
        <v>1646</v>
      </c>
      <c r="E92" s="14" t="s">
        <v>438</v>
      </c>
      <c r="F92" s="14" t="s">
        <v>1647</v>
      </c>
      <c r="G92" s="14" t="s">
        <v>2008</v>
      </c>
      <c r="H92" s="14"/>
      <c r="I92" s="14" t="s">
        <v>1648</v>
      </c>
    </row>
    <row r="93" customFormat="false" ht="15" hidden="false" customHeight="false" outlineLevel="0" collapsed="false">
      <c r="A93" s="14" t="s">
        <v>1029</v>
      </c>
      <c r="B93" s="14" t="n">
        <v>52</v>
      </c>
      <c r="C93" s="14" t="n">
        <v>2</v>
      </c>
      <c r="D93" s="14" t="s">
        <v>1096</v>
      </c>
      <c r="E93" s="1" t="s">
        <v>448</v>
      </c>
      <c r="F93" s="14" t="s">
        <v>1651</v>
      </c>
      <c r="G93" s="14" t="s">
        <v>2001</v>
      </c>
      <c r="H93" s="14"/>
      <c r="I93" s="14" t="s">
        <v>1652</v>
      </c>
    </row>
    <row r="94" customFormat="false" ht="15" hidden="false" customHeight="false" outlineLevel="0" collapsed="false">
      <c r="A94" s="14" t="s">
        <v>1666</v>
      </c>
      <c r="B94" s="14" t="n">
        <v>58</v>
      </c>
      <c r="C94" s="14" t="n">
        <v>2</v>
      </c>
      <c r="D94" s="14" t="s">
        <v>1107</v>
      </c>
      <c r="E94" s="1" t="s">
        <v>2058</v>
      </c>
      <c r="F94" s="14" t="s">
        <v>1647</v>
      </c>
      <c r="G94" s="14" t="s">
        <v>2059</v>
      </c>
      <c r="H94" s="14"/>
      <c r="I94" s="14" t="s">
        <v>1668</v>
      </c>
    </row>
    <row r="95" customFormat="false" ht="15" hidden="false" customHeight="false" outlineLevel="0" collapsed="false">
      <c r="A95" s="14" t="s">
        <v>1666</v>
      </c>
      <c r="B95" s="14" t="n">
        <v>58</v>
      </c>
      <c r="C95" s="14" t="n">
        <v>3</v>
      </c>
      <c r="D95" s="14" t="s">
        <v>1669</v>
      </c>
      <c r="E95" s="2" t="s">
        <v>522</v>
      </c>
      <c r="F95" s="14" t="s">
        <v>1292</v>
      </c>
      <c r="G95" s="14" t="s">
        <v>2060</v>
      </c>
      <c r="H95" s="7" t="s">
        <v>2061</v>
      </c>
      <c r="I95" s="14" t="s">
        <v>1671</v>
      </c>
    </row>
    <row r="96" customFormat="false" ht="15" hidden="false" customHeight="false" outlineLevel="0" collapsed="false">
      <c r="A96" s="14" t="s">
        <v>1672</v>
      </c>
      <c r="B96" s="14" t="n">
        <v>59</v>
      </c>
      <c r="C96" s="14" t="n">
        <v>2</v>
      </c>
      <c r="D96" s="15" t="s">
        <v>1705</v>
      </c>
      <c r="E96" s="1" t="s">
        <v>537</v>
      </c>
      <c r="F96" s="14" t="s">
        <v>1647</v>
      </c>
      <c r="G96" s="14" t="s">
        <v>2037</v>
      </c>
      <c r="H96" s="14"/>
      <c r="I96" s="14" t="s">
        <v>2062</v>
      </c>
    </row>
    <row r="97" customFormat="false" ht="15" hidden="false" customHeight="false" outlineLevel="0" collapsed="false">
      <c r="A97" s="14" t="s">
        <v>1672</v>
      </c>
      <c r="B97" s="14" t="n">
        <v>59</v>
      </c>
      <c r="C97" s="14" t="n">
        <v>3</v>
      </c>
      <c r="D97" s="15" t="s">
        <v>1709</v>
      </c>
      <c r="E97" s="1" t="s">
        <v>537</v>
      </c>
      <c r="F97" s="14" t="s">
        <v>1292</v>
      </c>
      <c r="G97" s="14" t="s">
        <v>2008</v>
      </c>
      <c r="H97" s="14"/>
      <c r="I97" s="14" t="s">
        <v>1690</v>
      </c>
    </row>
    <row r="98" customFormat="false" ht="15" hidden="false" customHeight="false" outlineLevel="0" collapsed="false">
      <c r="A98" s="14" t="s">
        <v>1672</v>
      </c>
      <c r="B98" s="14" t="n">
        <v>59</v>
      </c>
      <c r="C98" s="14" t="n">
        <v>4</v>
      </c>
      <c r="D98" s="15" t="s">
        <v>1707</v>
      </c>
      <c r="E98" s="1" t="s">
        <v>537</v>
      </c>
      <c r="F98" s="14" t="s">
        <v>1647</v>
      </c>
      <c r="G98" s="14" t="s">
        <v>2008</v>
      </c>
      <c r="H98" s="14"/>
      <c r="I98" s="14" t="s">
        <v>1692</v>
      </c>
    </row>
    <row r="99" customFormat="false" ht="15" hidden="false" customHeight="false" outlineLevel="0" collapsed="false">
      <c r="A99" s="14" t="s">
        <v>1693</v>
      </c>
      <c r="B99" s="14" t="n">
        <v>59</v>
      </c>
      <c r="C99" s="14" t="n">
        <v>1</v>
      </c>
      <c r="D99" s="14" t="s">
        <v>1694</v>
      </c>
      <c r="E99" s="1" t="s">
        <v>534</v>
      </c>
      <c r="F99" s="14" t="s">
        <v>1389</v>
      </c>
      <c r="G99" s="14" t="s">
        <v>2033</v>
      </c>
      <c r="H99" s="14"/>
      <c r="I99" s="14" t="s">
        <v>1695</v>
      </c>
    </row>
    <row r="100" customFormat="false" ht="15" hidden="false" customHeight="false" outlineLevel="0" collapsed="false">
      <c r="A100" s="14" t="s">
        <v>1693</v>
      </c>
      <c r="B100" s="14" t="n">
        <v>59</v>
      </c>
      <c r="C100" s="14" t="n">
        <v>1</v>
      </c>
      <c r="D100" s="14" t="s">
        <v>1705</v>
      </c>
      <c r="E100" s="14" t="s">
        <v>537</v>
      </c>
      <c r="F100" s="14" t="s">
        <v>1306</v>
      </c>
      <c r="G100" s="14" t="s">
        <v>2063</v>
      </c>
      <c r="H100" s="14"/>
      <c r="I100" s="14" t="s">
        <v>1706</v>
      </c>
    </row>
    <row r="101" customFormat="false" ht="15" hidden="false" customHeight="false" outlineLevel="0" collapsed="false">
      <c r="A101" s="14" t="s">
        <v>1693</v>
      </c>
      <c r="B101" s="14" t="n">
        <v>59</v>
      </c>
      <c r="C101" s="14" t="n">
        <v>3</v>
      </c>
      <c r="D101" s="14" t="s">
        <v>1709</v>
      </c>
      <c r="E101" s="14" t="s">
        <v>537</v>
      </c>
      <c r="F101" s="14" t="s">
        <v>1647</v>
      </c>
      <c r="G101" s="14" t="s">
        <v>2064</v>
      </c>
      <c r="H101" s="14"/>
      <c r="I101" s="14" t="s">
        <v>1710</v>
      </c>
    </row>
    <row r="102" customFormat="false" ht="15" hidden="false" customHeight="false" outlineLevel="0" collapsed="false">
      <c r="A102" s="14" t="s">
        <v>1693</v>
      </c>
      <c r="B102" s="14" t="n">
        <v>59</v>
      </c>
      <c r="C102" s="14" t="n">
        <v>4</v>
      </c>
      <c r="D102" s="14" t="s">
        <v>1711</v>
      </c>
      <c r="E102" s="14" t="s">
        <v>537</v>
      </c>
      <c r="F102" s="14" t="s">
        <v>1292</v>
      </c>
      <c r="G102" s="14" t="s">
        <v>2006</v>
      </c>
      <c r="H102" s="14"/>
      <c r="I102" s="14" t="s">
        <v>1712</v>
      </c>
    </row>
    <row r="103" customFormat="false" ht="15" hidden="false" customHeight="false" outlineLevel="0" collapsed="false">
      <c r="A103" s="14" t="s">
        <v>1693</v>
      </c>
      <c r="B103" s="14" t="n">
        <v>59</v>
      </c>
      <c r="C103" s="14" t="n">
        <v>5</v>
      </c>
      <c r="D103" s="14" t="s">
        <v>1713</v>
      </c>
      <c r="E103" s="14" t="s">
        <v>537</v>
      </c>
      <c r="F103" s="14" t="s">
        <v>1647</v>
      </c>
      <c r="G103" s="14" t="s">
        <v>2008</v>
      </c>
      <c r="H103" s="14"/>
      <c r="I103" s="14" t="s">
        <v>1714</v>
      </c>
    </row>
    <row r="104" customFormat="false" ht="15" hidden="false" customHeight="false" outlineLevel="0" collapsed="false">
      <c r="A104" s="14" t="s">
        <v>1715</v>
      </c>
      <c r="B104" s="14" t="n">
        <v>59</v>
      </c>
      <c r="C104" s="14" t="n">
        <v>1</v>
      </c>
      <c r="D104" s="15" t="s">
        <v>1675</v>
      </c>
      <c r="E104" s="1" t="s">
        <v>534</v>
      </c>
      <c r="F104" s="14" t="s">
        <v>1647</v>
      </c>
      <c r="G104" s="14" t="s">
        <v>2033</v>
      </c>
      <c r="H104" s="14"/>
      <c r="I104" s="14" t="s">
        <v>1723</v>
      </c>
    </row>
    <row r="105" customFormat="false" ht="15" hidden="false" customHeight="false" outlineLevel="0" collapsed="false">
      <c r="A105" s="14" t="s">
        <v>1715</v>
      </c>
      <c r="B105" s="14" t="n">
        <v>59</v>
      </c>
      <c r="C105" s="14" t="n">
        <v>2</v>
      </c>
      <c r="D105" s="15" t="s">
        <v>2065</v>
      </c>
      <c r="E105" s="1" t="s">
        <v>534</v>
      </c>
      <c r="F105" s="14" t="s">
        <v>1292</v>
      </c>
      <c r="G105" s="14" t="s">
        <v>2008</v>
      </c>
      <c r="H105" s="14"/>
      <c r="I105" s="14" t="s">
        <v>1726</v>
      </c>
    </row>
    <row r="106" customFormat="false" ht="15" hidden="false" customHeight="false" outlineLevel="0" collapsed="false">
      <c r="A106" s="14" t="s">
        <v>1730</v>
      </c>
      <c r="B106" s="14" t="n">
        <v>60</v>
      </c>
      <c r="C106" s="14" t="n">
        <v>1</v>
      </c>
      <c r="D106" s="14" t="s">
        <v>1731</v>
      </c>
      <c r="E106" s="1" t="s">
        <v>540</v>
      </c>
      <c r="F106" s="14" t="s">
        <v>1647</v>
      </c>
      <c r="G106" s="14" t="s">
        <v>1133</v>
      </c>
      <c r="H106" s="7" t="s">
        <v>2066</v>
      </c>
      <c r="I106" s="14" t="s">
        <v>1732</v>
      </c>
    </row>
    <row r="107" customFormat="false" ht="15" hidden="false" customHeight="false" outlineLevel="0" collapsed="false">
      <c r="A107" s="14" t="s">
        <v>1733</v>
      </c>
      <c r="B107" s="14" t="n">
        <v>60</v>
      </c>
      <c r="C107" s="14" t="n">
        <v>1</v>
      </c>
      <c r="D107" s="14" t="s">
        <v>1734</v>
      </c>
      <c r="E107" s="14" t="s">
        <v>540</v>
      </c>
      <c r="F107" s="14" t="s">
        <v>1306</v>
      </c>
      <c r="G107" s="14" t="s">
        <v>2067</v>
      </c>
      <c r="H107" s="14"/>
      <c r="I107" s="14" t="s">
        <v>1735</v>
      </c>
    </row>
    <row r="108" customFormat="false" ht="15" hidden="false" customHeight="false" outlineLevel="0" collapsed="false">
      <c r="A108" s="14" t="s">
        <v>1733</v>
      </c>
      <c r="B108" s="14" t="n">
        <v>60</v>
      </c>
      <c r="C108" s="14" t="n">
        <v>2</v>
      </c>
      <c r="D108" s="14" t="s">
        <v>1731</v>
      </c>
      <c r="E108" s="1" t="s">
        <v>540</v>
      </c>
      <c r="F108" s="14" t="s">
        <v>1306</v>
      </c>
      <c r="G108" s="14" t="s">
        <v>2067</v>
      </c>
      <c r="H108" s="14"/>
      <c r="I108" s="14" t="s">
        <v>1736</v>
      </c>
    </row>
    <row r="109" customFormat="false" ht="15" hidden="false" customHeight="false" outlineLevel="0" collapsed="false">
      <c r="A109" s="14" t="s">
        <v>1742</v>
      </c>
      <c r="B109" s="14" t="n">
        <v>61</v>
      </c>
      <c r="C109" s="14" t="n">
        <v>4</v>
      </c>
      <c r="D109" s="14" t="s">
        <v>1749</v>
      </c>
      <c r="E109" s="1"/>
      <c r="F109" s="14" t="s">
        <v>1389</v>
      </c>
      <c r="G109" s="14" t="s">
        <v>2068</v>
      </c>
      <c r="H109" s="14"/>
      <c r="I109" s="14" t="s">
        <v>1751</v>
      </c>
    </row>
    <row r="110" customFormat="false" ht="15" hidden="false" customHeight="false" outlineLevel="0" collapsed="false">
      <c r="A110" s="14" t="s">
        <v>1752</v>
      </c>
      <c r="B110" s="14" t="n">
        <v>66</v>
      </c>
      <c r="C110" s="14" t="n">
        <v>4</v>
      </c>
      <c r="D110" s="14" t="s">
        <v>1760</v>
      </c>
      <c r="E110" s="1" t="s">
        <v>601</v>
      </c>
      <c r="F110" s="14" t="s">
        <v>1761</v>
      </c>
      <c r="G110" s="14" t="s">
        <v>2069</v>
      </c>
      <c r="H110" s="14"/>
      <c r="I110" s="14" t="s">
        <v>1762</v>
      </c>
    </row>
    <row r="111" customFormat="false" ht="15" hidden="false" customHeight="false" outlineLevel="0" collapsed="false">
      <c r="A111" s="14" t="s">
        <v>1764</v>
      </c>
      <c r="B111" s="14" t="n">
        <v>66</v>
      </c>
      <c r="C111" s="14" t="n">
        <v>1</v>
      </c>
      <c r="D111" s="14" t="s">
        <v>1753</v>
      </c>
      <c r="E111" s="1" t="s">
        <v>601</v>
      </c>
      <c r="F111" s="14" t="s">
        <v>1765</v>
      </c>
      <c r="G111" s="14" t="s">
        <v>2008</v>
      </c>
      <c r="H111" s="14"/>
      <c r="I111" s="14" t="s">
        <v>1766</v>
      </c>
    </row>
    <row r="112" customFormat="false" ht="15" hidden="false" customHeight="false" outlineLevel="0" collapsed="false">
      <c r="A112" s="14" t="s">
        <v>1764</v>
      </c>
      <c r="B112" s="14" t="n">
        <v>66</v>
      </c>
      <c r="C112" s="14" t="n">
        <v>2</v>
      </c>
      <c r="D112" s="14" t="s">
        <v>1056</v>
      </c>
      <c r="E112" s="1" t="s">
        <v>601</v>
      </c>
      <c r="F112" s="14" t="s">
        <v>1765</v>
      </c>
      <c r="G112" s="14" t="s">
        <v>2064</v>
      </c>
      <c r="H112" s="14"/>
      <c r="I112" s="14" t="s">
        <v>1767</v>
      </c>
    </row>
    <row r="113" customFormat="false" ht="15" hidden="false" customHeight="false" outlineLevel="0" collapsed="false">
      <c r="A113" s="14" t="s">
        <v>1764</v>
      </c>
      <c r="B113" s="14" t="n">
        <v>66</v>
      </c>
      <c r="C113" s="14" t="n">
        <v>3</v>
      </c>
      <c r="D113" s="14" t="s">
        <v>1768</v>
      </c>
      <c r="E113" s="14" t="s">
        <v>601</v>
      </c>
      <c r="F113" s="14" t="s">
        <v>1765</v>
      </c>
      <c r="G113" s="14" t="s">
        <v>2064</v>
      </c>
      <c r="H113" s="14"/>
      <c r="I113" s="14" t="s">
        <v>1769</v>
      </c>
    </row>
    <row r="114" customFormat="false" ht="15" hidden="false" customHeight="false" outlineLevel="0" collapsed="false">
      <c r="A114" s="14" t="s">
        <v>1764</v>
      </c>
      <c r="B114" s="14" t="n">
        <v>66</v>
      </c>
      <c r="C114" s="14" t="n">
        <v>5</v>
      </c>
      <c r="D114" s="14" t="s">
        <v>1760</v>
      </c>
      <c r="E114" s="14" t="s">
        <v>601</v>
      </c>
      <c r="F114" s="14" t="s">
        <v>1389</v>
      </c>
      <c r="G114" s="14" t="s">
        <v>2033</v>
      </c>
      <c r="H114" s="14"/>
      <c r="I114" s="14" t="s">
        <v>1774</v>
      </c>
    </row>
    <row r="115" customFormat="false" ht="15" hidden="false" customHeight="false" outlineLevel="0" collapsed="false">
      <c r="A115" s="14" t="s">
        <v>1049</v>
      </c>
      <c r="B115" s="14" t="n">
        <v>70</v>
      </c>
      <c r="C115" s="14" t="n">
        <v>4</v>
      </c>
      <c r="D115" s="14" t="s">
        <v>1786</v>
      </c>
      <c r="E115" s="14" t="s">
        <v>619</v>
      </c>
      <c r="F115" s="14" t="s">
        <v>1389</v>
      </c>
      <c r="G115" s="14" t="s">
        <v>2070</v>
      </c>
      <c r="H115" s="14"/>
      <c r="I115" s="14" t="s">
        <v>1788</v>
      </c>
    </row>
    <row r="116" customFormat="false" ht="15" hidden="false" customHeight="false" outlineLevel="0" collapsed="false">
      <c r="A116" s="14" t="s">
        <v>1049</v>
      </c>
      <c r="B116" s="14" t="n">
        <v>70</v>
      </c>
      <c r="C116" s="14" t="n">
        <v>1</v>
      </c>
      <c r="D116" s="14" t="s">
        <v>1794</v>
      </c>
      <c r="E116" s="34" t="s">
        <v>433</v>
      </c>
      <c r="F116" s="14" t="s">
        <v>1647</v>
      </c>
      <c r="G116" s="14" t="s">
        <v>2071</v>
      </c>
      <c r="H116" s="14"/>
      <c r="I116" s="14" t="s">
        <v>1795</v>
      </c>
    </row>
    <row r="117" customFormat="false" ht="15" hidden="false" customHeight="false" outlineLevel="0" collapsed="false">
      <c r="A117" s="14" t="s">
        <v>1049</v>
      </c>
      <c r="B117" s="14" t="n">
        <v>70</v>
      </c>
      <c r="C117" s="14" t="n">
        <v>3</v>
      </c>
      <c r="D117" s="14" t="s">
        <v>1796</v>
      </c>
      <c r="E117" s="14" t="s">
        <v>433</v>
      </c>
      <c r="F117" s="14" t="s">
        <v>1306</v>
      </c>
      <c r="G117" s="14" t="s">
        <v>2072</v>
      </c>
      <c r="H117" s="14"/>
      <c r="I117" s="14" t="s">
        <v>1799</v>
      </c>
    </row>
    <row r="118" customFormat="false" ht="15" hidden="false" customHeight="false" outlineLevel="0" collapsed="false">
      <c r="A118" s="14" t="s">
        <v>1049</v>
      </c>
      <c r="B118" s="14" t="n">
        <v>70</v>
      </c>
      <c r="C118" s="14" t="n">
        <v>1</v>
      </c>
      <c r="D118" s="14" t="s">
        <v>1526</v>
      </c>
      <c r="E118" s="15" t="s">
        <v>632</v>
      </c>
      <c r="F118" s="14" t="s">
        <v>1647</v>
      </c>
      <c r="G118" s="14" t="s">
        <v>2073</v>
      </c>
      <c r="H118" s="14"/>
      <c r="I118" s="14" t="s">
        <v>1800</v>
      </c>
    </row>
    <row r="119" customFormat="false" ht="15" hidden="false" customHeight="false" outlineLevel="0" collapsed="false">
      <c r="A119" s="14" t="s">
        <v>1060</v>
      </c>
      <c r="B119" s="14" t="n">
        <v>70</v>
      </c>
      <c r="C119" s="14" t="n">
        <v>3</v>
      </c>
      <c r="D119" s="15" t="s">
        <v>2074</v>
      </c>
      <c r="E119" s="14" t="s">
        <v>619</v>
      </c>
      <c r="F119" s="14" t="s">
        <v>1808</v>
      </c>
      <c r="G119" s="14" t="s">
        <v>2075</v>
      </c>
      <c r="H119" s="14"/>
      <c r="I119" s="14" t="s">
        <v>1809</v>
      </c>
    </row>
    <row r="120" customFormat="false" ht="15" hidden="false" customHeight="false" outlineLevel="0" collapsed="false">
      <c r="A120" s="14" t="s">
        <v>1060</v>
      </c>
      <c r="B120" s="14" t="n">
        <v>70</v>
      </c>
      <c r="C120" s="14" t="n">
        <v>4</v>
      </c>
      <c r="D120" s="14" t="s">
        <v>1056</v>
      </c>
      <c r="E120" s="2" t="s">
        <v>632</v>
      </c>
      <c r="F120" s="14" t="s">
        <v>1824</v>
      </c>
      <c r="G120" s="14" t="s">
        <v>2049</v>
      </c>
      <c r="H120" s="14"/>
      <c r="I120" s="14" t="s">
        <v>1825</v>
      </c>
    </row>
    <row r="121" customFormat="false" ht="15" hidden="false" customHeight="false" outlineLevel="0" collapsed="false">
      <c r="A121" s="14" t="s">
        <v>1068</v>
      </c>
      <c r="B121" s="14" t="n">
        <v>70</v>
      </c>
      <c r="C121" s="14" t="n">
        <v>1</v>
      </c>
      <c r="D121" s="14" t="s">
        <v>1826</v>
      </c>
      <c r="E121" s="1" t="s">
        <v>619</v>
      </c>
      <c r="F121" s="14" t="s">
        <v>1827</v>
      </c>
      <c r="G121" s="14" t="s">
        <v>2008</v>
      </c>
      <c r="H121" s="14"/>
      <c r="I121" s="14" t="s">
        <v>1828</v>
      </c>
    </row>
    <row r="122" customFormat="false" ht="15" hidden="false" customHeight="false" outlineLevel="0" collapsed="false">
      <c r="A122" s="14" t="s">
        <v>1068</v>
      </c>
      <c r="B122" s="14" t="n">
        <v>70</v>
      </c>
      <c r="C122" s="14" t="n">
        <v>2</v>
      </c>
      <c r="D122" s="14" t="s">
        <v>1829</v>
      </c>
      <c r="E122" s="1" t="s">
        <v>619</v>
      </c>
      <c r="F122" s="14" t="s">
        <v>1647</v>
      </c>
      <c r="G122" s="14" t="s">
        <v>2051</v>
      </c>
      <c r="H122" s="14"/>
      <c r="I122" s="14" t="s">
        <v>1830</v>
      </c>
    </row>
    <row r="123" customFormat="false" ht="15" hidden="false" customHeight="false" outlineLevel="0" collapsed="false">
      <c r="A123" s="14" t="s">
        <v>1831</v>
      </c>
      <c r="B123" s="14" t="n">
        <v>71</v>
      </c>
      <c r="C123" s="14" t="n">
        <v>5</v>
      </c>
      <c r="D123" s="14" t="s">
        <v>2</v>
      </c>
      <c r="E123" s="2" t="s">
        <v>3</v>
      </c>
      <c r="F123" s="14" t="s">
        <v>4</v>
      </c>
      <c r="G123" s="14" t="s">
        <v>5</v>
      </c>
      <c r="H123" s="7" t="s">
        <v>6</v>
      </c>
      <c r="I123" s="14" t="s">
        <v>7</v>
      </c>
    </row>
    <row r="124" customFormat="false" ht="15" hidden="false" customHeight="false" outlineLevel="0" collapsed="false">
      <c r="A124" s="14" t="s">
        <v>1840</v>
      </c>
      <c r="B124" s="14" t="n">
        <v>77</v>
      </c>
      <c r="C124" s="14" t="n">
        <v>3</v>
      </c>
      <c r="D124" s="14" t="s">
        <v>1845</v>
      </c>
      <c r="E124" s="1" t="s">
        <v>666</v>
      </c>
      <c r="F124" s="14" t="s">
        <v>1846</v>
      </c>
      <c r="G124" s="14" t="s">
        <v>2001</v>
      </c>
      <c r="H124" s="14"/>
      <c r="I124" s="14" t="s">
        <v>1847</v>
      </c>
    </row>
    <row r="125" customFormat="false" ht="15" hidden="false" customHeight="false" outlineLevel="0" collapsed="false">
      <c r="A125" s="14" t="s">
        <v>1848</v>
      </c>
      <c r="B125" s="14" t="n">
        <v>77</v>
      </c>
      <c r="C125" s="14" t="n">
        <v>1</v>
      </c>
      <c r="D125" s="14" t="s">
        <v>1849</v>
      </c>
      <c r="E125" s="1" t="s">
        <v>666</v>
      </c>
      <c r="F125" s="14" t="s">
        <v>1647</v>
      </c>
      <c r="G125" s="14" t="s">
        <v>2001</v>
      </c>
      <c r="H125" s="14"/>
      <c r="I125" s="14" t="s">
        <v>1850</v>
      </c>
    </row>
    <row r="126" customFormat="false" ht="15" hidden="false" customHeight="false" outlineLevel="0" collapsed="false">
      <c r="A126" s="14" t="s">
        <v>1076</v>
      </c>
      <c r="B126" s="14" t="n">
        <v>78</v>
      </c>
      <c r="C126" s="14" t="n">
        <v>1</v>
      </c>
      <c r="D126" s="14" t="s">
        <v>1859</v>
      </c>
      <c r="E126" s="5" t="s">
        <v>675</v>
      </c>
      <c r="F126" s="14" t="s">
        <v>2076</v>
      </c>
      <c r="G126" s="14" t="s">
        <v>2070</v>
      </c>
      <c r="H126" s="14"/>
      <c r="I126" s="14" t="s">
        <v>1861</v>
      </c>
    </row>
    <row r="127" customFormat="false" ht="15" hidden="false" customHeight="false" outlineLevel="0" collapsed="false">
      <c r="A127" s="14" t="s">
        <v>1882</v>
      </c>
      <c r="B127" s="14" t="n">
        <v>79</v>
      </c>
      <c r="C127" s="14" t="n">
        <v>5</v>
      </c>
      <c r="D127" s="14" t="s">
        <v>1877</v>
      </c>
      <c r="E127" s="14" t="s">
        <v>691</v>
      </c>
      <c r="F127" s="14" t="s">
        <v>1891</v>
      </c>
      <c r="G127" s="14" t="s">
        <v>2051</v>
      </c>
      <c r="H127" s="14"/>
      <c r="I127" s="14" t="s">
        <v>1892</v>
      </c>
    </row>
    <row r="128" customFormat="false" ht="15" hidden="false" customHeight="false" outlineLevel="0" collapsed="false">
      <c r="A128" s="14" t="s">
        <v>1882</v>
      </c>
      <c r="B128" s="14" t="n">
        <v>79</v>
      </c>
      <c r="C128" s="14" t="n">
        <v>6</v>
      </c>
      <c r="D128" s="14" t="s">
        <v>1893</v>
      </c>
      <c r="E128" s="1" t="s">
        <v>691</v>
      </c>
      <c r="F128" s="14" t="s">
        <v>2077</v>
      </c>
      <c r="G128" s="14" t="s">
        <v>2078</v>
      </c>
      <c r="H128" s="7" t="s">
        <v>2079</v>
      </c>
      <c r="I128" s="14" t="s">
        <v>1894</v>
      </c>
    </row>
    <row r="129" customFormat="false" ht="15" hidden="false" customHeight="false" outlineLevel="0" collapsed="false">
      <c r="A129" s="14" t="s">
        <v>1895</v>
      </c>
      <c r="B129" s="14" t="n">
        <v>79</v>
      </c>
      <c r="C129" s="14" t="n">
        <v>1</v>
      </c>
      <c r="D129" s="14" t="s">
        <v>1896</v>
      </c>
      <c r="E129" s="1" t="s">
        <v>691</v>
      </c>
      <c r="F129" s="14" t="s">
        <v>1647</v>
      </c>
      <c r="G129" s="14" t="s">
        <v>2075</v>
      </c>
      <c r="H129" s="14"/>
      <c r="I129" s="14" t="s">
        <v>1897</v>
      </c>
    </row>
    <row r="130" customFormat="false" ht="15" hidden="false" customHeight="false" outlineLevel="0" collapsed="false">
      <c r="A130" s="14" t="s">
        <v>1895</v>
      </c>
      <c r="B130" s="14" t="n">
        <v>79</v>
      </c>
      <c r="C130" s="14" t="n">
        <v>4</v>
      </c>
      <c r="D130" s="14" t="s">
        <v>1903</v>
      </c>
      <c r="E130" s="1" t="s">
        <v>691</v>
      </c>
      <c r="F130" s="14" t="s">
        <v>1904</v>
      </c>
      <c r="G130" s="14" t="s">
        <v>2005</v>
      </c>
      <c r="H130" s="14"/>
      <c r="I130" s="14" t="s">
        <v>1905</v>
      </c>
    </row>
    <row r="131" customFormat="false" ht="15" hidden="false" customHeight="false" outlineLevel="0" collapsed="false">
      <c r="A131" s="14" t="s">
        <v>1895</v>
      </c>
      <c r="B131" s="14" t="n">
        <v>79</v>
      </c>
      <c r="C131" s="14" t="n">
        <v>6</v>
      </c>
      <c r="D131" s="14" t="s">
        <v>1893</v>
      </c>
      <c r="E131" s="1" t="s">
        <v>691</v>
      </c>
      <c r="F131" s="14" t="s">
        <v>1647</v>
      </c>
      <c r="G131" s="14" t="s">
        <v>2005</v>
      </c>
      <c r="H131" s="14"/>
      <c r="I131" s="14" t="s">
        <v>1907</v>
      </c>
    </row>
    <row r="132" customFormat="false" ht="15" hidden="false" customHeight="false" outlineLevel="0" collapsed="false">
      <c r="A132" s="14" t="s">
        <v>1091</v>
      </c>
      <c r="B132" s="14" t="n">
        <v>83</v>
      </c>
      <c r="C132" s="14" t="n">
        <v>1</v>
      </c>
      <c r="D132" s="14" t="s">
        <v>1105</v>
      </c>
      <c r="E132" s="5" t="s">
        <v>706</v>
      </c>
      <c r="F132" s="14" t="s">
        <v>1306</v>
      </c>
      <c r="G132" s="14" t="s">
        <v>2006</v>
      </c>
      <c r="H132" s="14"/>
      <c r="I132" s="14" t="s">
        <v>1909</v>
      </c>
    </row>
    <row r="133" customFormat="false" ht="15" hidden="false" customHeight="false" outlineLevel="0" collapsed="false">
      <c r="A133" s="14" t="s">
        <v>1098</v>
      </c>
      <c r="B133" s="14" t="n">
        <v>83</v>
      </c>
      <c r="C133" s="14" t="n">
        <v>1</v>
      </c>
      <c r="D133" s="14" t="s">
        <v>1910</v>
      </c>
      <c r="E133" s="1" t="s">
        <v>706</v>
      </c>
      <c r="F133" s="14" t="s">
        <v>1911</v>
      </c>
      <c r="G133" s="14" t="s">
        <v>2075</v>
      </c>
      <c r="H133" s="14"/>
      <c r="I133" s="14" t="s">
        <v>1912</v>
      </c>
    </row>
    <row r="134" customFormat="false" ht="15" hidden="false" customHeight="false" outlineLevel="0" collapsed="false">
      <c r="A134" s="14" t="s">
        <v>1913</v>
      </c>
      <c r="B134" s="14" t="n">
        <v>92</v>
      </c>
      <c r="C134" s="14" t="n">
        <v>4</v>
      </c>
      <c r="D134" s="14" t="s">
        <v>1916</v>
      </c>
      <c r="E134" s="5" t="s">
        <v>728</v>
      </c>
      <c r="F134" s="14" t="s">
        <v>1647</v>
      </c>
      <c r="G134" s="14" t="s">
        <v>2008</v>
      </c>
      <c r="H134" s="14"/>
      <c r="I134" s="14" t="s">
        <v>1922</v>
      </c>
    </row>
    <row r="135" customFormat="false" ht="15" hidden="false" customHeight="false" outlineLevel="0" collapsed="false">
      <c r="A135" s="14" t="s">
        <v>1913</v>
      </c>
      <c r="B135" s="14" t="n">
        <v>92</v>
      </c>
      <c r="C135" s="14" t="n">
        <v>5</v>
      </c>
      <c r="D135" s="14" t="s">
        <v>1923</v>
      </c>
      <c r="E135" s="1" t="s">
        <v>728</v>
      </c>
      <c r="F135" s="14" t="s">
        <v>1647</v>
      </c>
      <c r="G135" s="14" t="s">
        <v>2080</v>
      </c>
      <c r="H135" s="14"/>
      <c r="I135" s="14" t="s">
        <v>1924</v>
      </c>
    </row>
    <row r="136" customFormat="false" ht="15" hidden="false" customHeight="false" outlineLevel="0" collapsed="false">
      <c r="A136" s="14" t="s">
        <v>1925</v>
      </c>
      <c r="B136" s="14" t="n">
        <v>92</v>
      </c>
      <c r="C136" s="14" t="n">
        <v>4</v>
      </c>
      <c r="D136" s="14" t="s">
        <v>1932</v>
      </c>
      <c r="E136" s="1" t="s">
        <v>728</v>
      </c>
      <c r="F136" s="14" t="s">
        <v>1933</v>
      </c>
      <c r="G136" s="14" t="s">
        <v>2075</v>
      </c>
      <c r="H136" s="14"/>
      <c r="I136" s="14" t="s">
        <v>1934</v>
      </c>
    </row>
    <row r="137" customFormat="false" ht="15" hidden="false" customHeight="false" outlineLevel="0" collapsed="false">
      <c r="A137" s="14" t="s">
        <v>1935</v>
      </c>
      <c r="B137" s="14" t="n">
        <v>97</v>
      </c>
      <c r="C137" s="14" t="n">
        <v>1</v>
      </c>
      <c r="D137" s="14" t="s">
        <v>1936</v>
      </c>
      <c r="E137" s="14" t="s">
        <v>742</v>
      </c>
      <c r="F137" s="14" t="s">
        <v>1647</v>
      </c>
      <c r="G137" s="14" t="s">
        <v>2001</v>
      </c>
      <c r="H137" s="14"/>
      <c r="I137" s="14" t="s">
        <v>1937</v>
      </c>
    </row>
    <row r="138" customFormat="false" ht="15" hidden="false" customHeight="false" outlineLevel="0" collapsed="false">
      <c r="A138" s="14" t="s">
        <v>1935</v>
      </c>
      <c r="B138" s="14" t="n">
        <v>97</v>
      </c>
      <c r="C138" s="14" t="n">
        <v>3</v>
      </c>
      <c r="D138" s="14" t="s">
        <v>1941</v>
      </c>
      <c r="E138" s="14" t="s">
        <v>742</v>
      </c>
      <c r="F138" s="14" t="s">
        <v>1306</v>
      </c>
      <c r="G138" s="14" t="s">
        <v>2080</v>
      </c>
      <c r="H138" s="14"/>
      <c r="I138" s="14" t="s">
        <v>1942</v>
      </c>
    </row>
    <row r="139" customFormat="false" ht="15" hidden="false" customHeight="false" outlineLevel="0" collapsed="false">
      <c r="A139" s="14" t="s">
        <v>1935</v>
      </c>
      <c r="B139" s="14" t="n">
        <v>97</v>
      </c>
      <c r="C139" s="14" t="n">
        <v>4</v>
      </c>
      <c r="D139" s="14" t="s">
        <v>1938</v>
      </c>
      <c r="E139" s="14" t="s">
        <v>742</v>
      </c>
      <c r="F139" s="14" t="s">
        <v>1292</v>
      </c>
      <c r="G139" s="14" t="s">
        <v>2081</v>
      </c>
      <c r="H139" s="14"/>
      <c r="I139" s="14" t="s">
        <v>1943</v>
      </c>
    </row>
    <row r="140" customFormat="false" ht="15" hidden="false" customHeight="false" outlineLevel="0" collapsed="false">
      <c r="A140" s="14" t="s">
        <v>1944</v>
      </c>
      <c r="B140" s="14" t="n">
        <v>97</v>
      </c>
      <c r="C140" s="14" t="n">
        <v>1</v>
      </c>
      <c r="D140" s="14" t="s">
        <v>1945</v>
      </c>
      <c r="E140" s="14" t="s">
        <v>742</v>
      </c>
      <c r="F140" s="14" t="s">
        <v>1647</v>
      </c>
      <c r="G140" s="14" t="s">
        <v>2033</v>
      </c>
      <c r="H140" s="14"/>
      <c r="I140" s="14" t="s">
        <v>1946</v>
      </c>
    </row>
    <row r="141" customFormat="false" ht="15" hidden="false" customHeight="false" outlineLevel="0" collapsed="false">
      <c r="A141" s="14" t="s">
        <v>1944</v>
      </c>
      <c r="B141" s="14" t="n">
        <v>97</v>
      </c>
      <c r="C141" s="14" t="n">
        <v>2</v>
      </c>
      <c r="D141" s="14" t="s">
        <v>1936</v>
      </c>
      <c r="E141" s="14" t="s">
        <v>742</v>
      </c>
      <c r="F141" s="14" t="s">
        <v>1306</v>
      </c>
      <c r="G141" s="14" t="s">
        <v>2080</v>
      </c>
      <c r="H141" s="14"/>
      <c r="I141" s="14" t="s">
        <v>1947</v>
      </c>
    </row>
    <row r="142" customFormat="false" ht="15" hidden="false" customHeight="false" outlineLevel="0" collapsed="false">
      <c r="A142" s="14" t="s">
        <v>1944</v>
      </c>
      <c r="B142" s="14" t="n">
        <v>97</v>
      </c>
      <c r="C142" s="14" t="n">
        <v>4</v>
      </c>
      <c r="D142" s="14" t="s">
        <v>1949</v>
      </c>
      <c r="E142" s="1" t="s">
        <v>742</v>
      </c>
      <c r="F142" s="14" t="s">
        <v>1306</v>
      </c>
      <c r="G142" s="14" t="s">
        <v>2075</v>
      </c>
      <c r="H142" s="14"/>
      <c r="I142" s="14" t="s">
        <v>1950</v>
      </c>
    </row>
    <row r="143" customFormat="false" ht="15" hidden="false" customHeight="false" outlineLevel="0" collapsed="false">
      <c r="A143" s="14" t="s">
        <v>1959</v>
      </c>
      <c r="B143" s="14" t="n">
        <v>110</v>
      </c>
      <c r="C143" s="14" t="n">
        <v>1</v>
      </c>
      <c r="D143" s="14" t="s">
        <v>1960</v>
      </c>
      <c r="E143" s="14" t="s">
        <v>788</v>
      </c>
      <c r="F143" s="14" t="s">
        <v>1647</v>
      </c>
      <c r="G143" s="14" t="s">
        <v>2063</v>
      </c>
      <c r="H143" s="14"/>
      <c r="I143" s="14" t="s">
        <v>1961</v>
      </c>
    </row>
    <row r="144" customFormat="false" ht="15" hidden="false" customHeight="false" outlineLevel="0" collapsed="false">
      <c r="A144" s="14" t="s">
        <v>1959</v>
      </c>
      <c r="B144" s="14" t="n">
        <v>110</v>
      </c>
      <c r="C144" s="14" t="n">
        <v>2</v>
      </c>
      <c r="D144" s="14" t="s">
        <v>1592</v>
      </c>
      <c r="E144" s="1" t="s">
        <v>788</v>
      </c>
      <c r="F144" s="14" t="s">
        <v>1306</v>
      </c>
      <c r="G144" s="14" t="s">
        <v>2005</v>
      </c>
      <c r="H144" s="14"/>
      <c r="I144" s="14" t="s">
        <v>1962</v>
      </c>
    </row>
    <row r="145" customFormat="false" ht="15" hidden="false" customHeight="false" outlineLevel="0" collapsed="false">
      <c r="A145" s="14" t="s">
        <v>1959</v>
      </c>
      <c r="B145" s="14" t="n">
        <v>110</v>
      </c>
      <c r="C145" s="14" t="n">
        <v>4</v>
      </c>
      <c r="D145" s="14" t="s">
        <v>1963</v>
      </c>
      <c r="E145" s="14"/>
      <c r="F145" s="14" t="s">
        <v>1335</v>
      </c>
      <c r="G145" s="14" t="s">
        <v>2001</v>
      </c>
      <c r="H145" s="14"/>
      <c r="I145" s="14" t="s">
        <v>1964</v>
      </c>
    </row>
    <row r="146" customFormat="false" ht="15" hidden="false" customHeight="false" outlineLevel="0" collapsed="false">
      <c r="A146" s="14" t="s">
        <v>1965</v>
      </c>
      <c r="B146" s="14" t="n">
        <v>112</v>
      </c>
      <c r="C146" s="14" t="n">
        <v>4</v>
      </c>
      <c r="D146" s="14" t="s">
        <v>1973</v>
      </c>
      <c r="E146" s="14"/>
      <c r="F146" s="14" t="s">
        <v>1647</v>
      </c>
      <c r="G146" s="14" t="s">
        <v>2082</v>
      </c>
      <c r="H146" s="14"/>
      <c r="I146" s="14" t="s">
        <v>1974</v>
      </c>
    </row>
    <row r="147" customFormat="false" ht="15" hidden="false" customHeight="false" outlineLevel="0" collapsed="false">
      <c r="A147" s="14" t="s">
        <v>1965</v>
      </c>
      <c r="B147" s="14" t="n">
        <v>112</v>
      </c>
      <c r="C147" s="14" t="n">
        <v>6</v>
      </c>
      <c r="D147" s="14" t="s">
        <v>1975</v>
      </c>
      <c r="E147" s="14"/>
      <c r="F147" s="14" t="s">
        <v>1977</v>
      </c>
      <c r="G147" s="14" t="s">
        <v>2083</v>
      </c>
      <c r="H147" s="14"/>
      <c r="I147" s="14" t="s">
        <v>1978</v>
      </c>
    </row>
    <row r="148" customFormat="false" ht="15" hidden="false" customHeight="false" outlineLevel="0" collapsed="false">
      <c r="A148" s="14" t="s">
        <v>1979</v>
      </c>
      <c r="B148" s="14" t="n">
        <v>112</v>
      </c>
      <c r="C148" s="14" t="n">
        <v>1</v>
      </c>
      <c r="D148" s="14" t="s">
        <v>1980</v>
      </c>
      <c r="E148" s="14"/>
      <c r="F148" s="14" t="s">
        <v>1306</v>
      </c>
      <c r="G148" s="14" t="s">
        <v>2080</v>
      </c>
      <c r="H148" s="14"/>
      <c r="I148" s="14" t="s">
        <v>1982</v>
      </c>
    </row>
    <row r="149" customFormat="false" ht="15" hidden="false" customHeight="false" outlineLevel="0" collapsed="false">
      <c r="A149" s="14" t="s">
        <v>1979</v>
      </c>
      <c r="B149" s="14" t="n">
        <v>112</v>
      </c>
      <c r="C149" s="14" t="n">
        <v>2</v>
      </c>
      <c r="D149" s="14" t="s">
        <v>1983</v>
      </c>
      <c r="E149" s="14"/>
      <c r="F149" s="14" t="s">
        <v>1306</v>
      </c>
      <c r="G149" s="14" t="s">
        <v>2080</v>
      </c>
      <c r="H149" s="14"/>
      <c r="I149" s="14" t="s">
        <v>1984</v>
      </c>
    </row>
    <row r="1048576" customFormat="false" ht="15" hidden="false" customHeight="true" outlineLevel="0" collapsed="false"/>
  </sheetData>
  <hyperlinks>
    <hyperlink ref="H2" r:id="rId1" location="l-13-not-emitting-event-for-important-state-changes" display="https://code4rena.com/reports/2021-04-marginswap/#l-13-not-emitting-event-for-important-state-changes"/>
    <hyperlink ref="H26" r:id="rId2" location="h-06-wrong-price-scale-for-gasoracle" display="https://code4rena.com/reports/2021-06-tracer/#h-06-wrong-price-scale-for-gasoracle"/>
    <hyperlink ref="H36" r:id="rId3" location="l-08-potential-division-by-zero" display="https://code4rena.com/reports/2021-06-tracer/#l-08-potential-division-by-zero"/>
    <hyperlink ref="H38" r:id="rId4" location="l-03-buoy3pool_updateratios-unsafe-math" display="https://code4rena.com/reports/2021-06-gro/#l-03-buoy3pool_updateratios-unsafe-math"/>
    <hyperlink ref="H64" r:id="rId5" location="h-02-wrong-implementation-of-creditlimitbymediansolgetlockedamount-makes-it-unable-to-unlock-lockedamount-in-creditlimitbymedian-model" display="https://code4rena.com/reports/2021-10-union/#h-02-wrong-implementation-of-creditlimitbymediansolgetlockedamount-makes-it-unable-to-unlock-lockedamount-in-creditlimitbymedian-model"/>
    <hyperlink ref="H71" r:id="rId6" location="h-03-wrappedibbtceth-contract-will-use-stalled-price-for-mintburn-if-updatepricepershare-wasnt-run-properly" display="https://code4rena.com/reports/2021-10-badgerdao/#h-03-wrappedibbtceth-contract-will-use-stalled-price-for-mintburn-if-updatepricepershare-wasnt-run-properly"/>
    <hyperlink ref="H84" r:id="rId7" location="m-21-vaderpoolv2rescue-results-in-loss-of-funds-rather-than-recoverability" display="https://code4rena.com/reports/2021-11-vader/#m-21-vaderpoolv2rescue-results-in-loss-of-funds-rather-than-recoverability"/>
    <hyperlink ref="H95" r:id="rId8" location="m-03-users-can-avoid-paying-vault-fees" display="https://code4rena.com/reports/2021-12-mellow/#m-03-users-can-avoid-paying-vault-fees"/>
    <hyperlink ref="H106" r:id="rId9" location="h-01-wrong-shortfall-calculation" display="https://code4rena.com/reports/2021-12-perennial/#h-01-wrong-shortfall-calculation"/>
    <hyperlink ref="H123" r:id="rId10" location="h-02-typo-in-pooltemplate-unlock-function-results-in-user-being-able-to-unlock-multiple-times" display="https://code4rena.com/reports/2022-01-insure/#h-02-typo-in-pooltemplate-unlock-function-results-in-user-being-able-to-unlock-multiple-times"/>
    <hyperlink ref="H128" r:id="rId11" display="https://github.com/code-423n4/2022-01-trader-joe-findings/issues/140"/>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19"/>
  <sheetViews>
    <sheetView showFormulas="false" showGridLines="true" showRowColHeaders="true" showZeros="true" rightToLeft="false" tabSelected="false" showOutlineSymbols="true" defaultGridColor="true" view="normal" topLeftCell="A86" colorId="64" zoomScale="100" zoomScaleNormal="100" zoomScalePageLayoutView="100" workbookViewId="0">
      <selection pane="topLeft" activeCell="E96" activeCellId="1" sqref="G14:I22 E96"/>
    </sheetView>
  </sheetViews>
  <sheetFormatPr defaultColWidth="8.4296875" defaultRowHeight="14.5" zeroHeight="false" outlineLevelRow="0" outlineLevelCol="0"/>
  <cols>
    <col collapsed="false" customWidth="true" hidden="false" outlineLevel="0" max="1" min="1" style="0" width="6.54"/>
    <col collapsed="false" customWidth="true" hidden="false" outlineLevel="0" max="2" min="2" style="0" width="5"/>
    <col collapsed="false" customWidth="true" hidden="false" outlineLevel="0" max="3" min="3" style="0" width="6.54"/>
    <col collapsed="false" customWidth="true" hidden="false" outlineLevel="0" max="4" min="4" style="0" width="6.27"/>
    <col collapsed="false" customWidth="true" hidden="false" outlineLevel="0" max="5" min="5" style="0" width="21.45"/>
    <col collapsed="false" customWidth="true" hidden="false" outlineLevel="0" max="6" min="6" style="0" width="25.18"/>
    <col collapsed="false" customWidth="true" hidden="false" outlineLevel="0" max="7" min="7" style="0" width="17.82"/>
  </cols>
  <sheetData>
    <row r="1" customFormat="false" ht="14.5" hidden="false" customHeight="false" outlineLevel="0" collapsed="false">
      <c r="A1" s="12" t="s">
        <v>1161</v>
      </c>
      <c r="B1" s="12" t="s">
        <v>21</v>
      </c>
      <c r="C1" s="12" t="s">
        <v>2084</v>
      </c>
      <c r="D1" s="12" t="s">
        <v>1163</v>
      </c>
      <c r="E1" s="12" t="s">
        <v>2085</v>
      </c>
      <c r="F1" s="12" t="s">
        <v>1165</v>
      </c>
      <c r="G1" s="12" t="s">
        <v>1168</v>
      </c>
    </row>
    <row r="2" customFormat="false" ht="14.5" hidden="false" customHeight="false" outlineLevel="0" collapsed="false">
      <c r="A2" s="14" t="s">
        <v>1214</v>
      </c>
      <c r="B2" s="14" t="n">
        <v>5</v>
      </c>
      <c r="C2" s="14" t="n">
        <v>1</v>
      </c>
      <c r="D2" s="14" t="n">
        <v>1</v>
      </c>
      <c r="E2" s="14" t="s">
        <v>2086</v>
      </c>
      <c r="F2" s="14" t="s">
        <v>2087</v>
      </c>
      <c r="G2" s="14" t="s">
        <v>2088</v>
      </c>
    </row>
    <row r="3" customFormat="false" ht="14.5" hidden="false" customHeight="false" outlineLevel="0" collapsed="false">
      <c r="A3" s="14" t="s">
        <v>1214</v>
      </c>
      <c r="B3" s="14" t="n">
        <v>5</v>
      </c>
      <c r="C3" s="14" t="n">
        <v>1</v>
      </c>
      <c r="D3" s="14" t="n">
        <v>1</v>
      </c>
      <c r="E3" s="14" t="s">
        <v>1259</v>
      </c>
      <c r="F3" s="14" t="s">
        <v>2087</v>
      </c>
      <c r="G3" s="14" t="s">
        <v>2089</v>
      </c>
    </row>
    <row r="4" customFormat="false" ht="14.5" hidden="false" customHeight="false" outlineLevel="0" collapsed="false">
      <c r="A4" s="14" t="s">
        <v>1214</v>
      </c>
      <c r="B4" s="14" t="n">
        <v>5</v>
      </c>
      <c r="C4" s="14" t="n">
        <v>1</v>
      </c>
      <c r="D4" s="14" t="n">
        <v>2</v>
      </c>
      <c r="E4" s="14" t="s">
        <v>1240</v>
      </c>
      <c r="F4" s="14" t="s">
        <v>2087</v>
      </c>
      <c r="G4" s="14" t="s">
        <v>2090</v>
      </c>
    </row>
    <row r="5" customFormat="false" ht="14.5" hidden="false" customHeight="false" outlineLevel="0" collapsed="false">
      <c r="A5" s="14" t="s">
        <v>1227</v>
      </c>
      <c r="B5" s="14" t="n">
        <v>5</v>
      </c>
      <c r="C5" s="14" t="n">
        <v>2</v>
      </c>
      <c r="D5" s="14" t="n">
        <v>1</v>
      </c>
      <c r="E5" s="14" t="s">
        <v>1259</v>
      </c>
      <c r="F5" s="14" t="s">
        <v>2087</v>
      </c>
      <c r="G5" s="14" t="s">
        <v>2091</v>
      </c>
    </row>
    <row r="6" customFormat="false" ht="14.5" hidden="false" customHeight="false" outlineLevel="0" collapsed="false">
      <c r="A6" s="14" t="s">
        <v>1227</v>
      </c>
      <c r="B6" s="14" t="n">
        <v>5</v>
      </c>
      <c r="C6" s="14" t="n">
        <v>2</v>
      </c>
      <c r="D6" s="14" t="n">
        <v>2</v>
      </c>
      <c r="E6" s="14" t="s">
        <v>1240</v>
      </c>
      <c r="F6" s="14" t="s">
        <v>2087</v>
      </c>
      <c r="G6" s="14" t="s">
        <v>2092</v>
      </c>
    </row>
    <row r="7" customFormat="false" ht="14.5" hidden="false" customHeight="false" outlineLevel="0" collapsed="false">
      <c r="A7" s="14" t="s">
        <v>1227</v>
      </c>
      <c r="B7" s="14" t="n">
        <v>5</v>
      </c>
      <c r="C7" s="14" t="n">
        <v>2</v>
      </c>
      <c r="D7" s="14" t="n">
        <v>1</v>
      </c>
      <c r="E7" s="14" t="s">
        <v>2086</v>
      </c>
      <c r="F7" s="14" t="s">
        <v>2087</v>
      </c>
      <c r="G7" s="14" t="s">
        <v>2093</v>
      </c>
    </row>
    <row r="8" customFormat="false" ht="14.5" hidden="false" customHeight="false" outlineLevel="0" collapsed="false">
      <c r="A8" s="14" t="s">
        <v>1252</v>
      </c>
      <c r="B8" s="14" t="n">
        <v>5</v>
      </c>
      <c r="C8" s="14" t="n">
        <v>3</v>
      </c>
      <c r="D8" s="14" t="n">
        <v>1</v>
      </c>
      <c r="E8" s="14" t="s">
        <v>1259</v>
      </c>
      <c r="F8" s="14" t="s">
        <v>2087</v>
      </c>
      <c r="G8" s="14" t="s">
        <v>2094</v>
      </c>
    </row>
    <row r="9" customFormat="false" ht="14.5" hidden="false" customHeight="false" outlineLevel="0" collapsed="false">
      <c r="A9" s="14" t="s">
        <v>1252</v>
      </c>
      <c r="B9" s="14" t="n">
        <v>5</v>
      </c>
      <c r="C9" s="14" t="n">
        <v>3</v>
      </c>
      <c r="D9" s="14" t="n">
        <v>2</v>
      </c>
      <c r="E9" s="14" t="s">
        <v>1240</v>
      </c>
      <c r="F9" s="14" t="s">
        <v>2087</v>
      </c>
      <c r="G9" s="14" t="s">
        <v>2095</v>
      </c>
    </row>
    <row r="10" customFormat="false" ht="14.5" hidden="false" customHeight="false" outlineLevel="0" collapsed="false">
      <c r="A10" s="14" t="s">
        <v>1252</v>
      </c>
      <c r="B10" s="14" t="n">
        <v>5</v>
      </c>
      <c r="C10" s="14" t="n">
        <v>3</v>
      </c>
      <c r="D10" s="14" t="n">
        <v>1</v>
      </c>
      <c r="E10" s="14" t="s">
        <v>2086</v>
      </c>
      <c r="F10" s="14" t="s">
        <v>2087</v>
      </c>
      <c r="G10" s="14" t="s">
        <v>2096</v>
      </c>
    </row>
    <row r="11" customFormat="false" ht="14.5" hidden="false" customHeight="false" outlineLevel="0" collapsed="false">
      <c r="A11" s="14" t="s">
        <v>2097</v>
      </c>
      <c r="B11" s="14" t="n">
        <v>13</v>
      </c>
      <c r="C11" s="14" t="n">
        <v>2</v>
      </c>
      <c r="D11" s="14" t="n">
        <v>1</v>
      </c>
      <c r="E11" s="14" t="s">
        <v>2098</v>
      </c>
      <c r="F11" s="14" t="s">
        <v>2087</v>
      </c>
      <c r="G11" s="14" t="s">
        <v>2099</v>
      </c>
    </row>
    <row r="12" customFormat="false" ht="14.5" hidden="false" customHeight="false" outlineLevel="0" collapsed="false">
      <c r="A12" s="14" t="s">
        <v>2097</v>
      </c>
      <c r="B12" s="14" t="n">
        <v>13</v>
      </c>
      <c r="C12" s="14" t="n">
        <v>2</v>
      </c>
      <c r="D12" s="14" t="n">
        <v>2</v>
      </c>
      <c r="E12" s="14" t="s">
        <v>2100</v>
      </c>
      <c r="F12" s="14" t="s">
        <v>2087</v>
      </c>
      <c r="G12" s="14" t="s">
        <v>2101</v>
      </c>
    </row>
    <row r="13" customFormat="false" ht="14.5" hidden="false" customHeight="false" outlineLevel="0" collapsed="false">
      <c r="A13" s="14" t="s">
        <v>2097</v>
      </c>
      <c r="B13" s="14" t="n">
        <v>13</v>
      </c>
      <c r="C13" s="14" t="n">
        <v>2</v>
      </c>
      <c r="D13" s="14" t="n">
        <v>3</v>
      </c>
      <c r="E13" s="14" t="s">
        <v>2102</v>
      </c>
      <c r="F13" s="14" t="s">
        <v>2087</v>
      </c>
      <c r="G13" s="14" t="s">
        <v>2103</v>
      </c>
    </row>
    <row r="14" customFormat="false" ht="14.5" hidden="false" customHeight="false" outlineLevel="0" collapsed="false">
      <c r="A14" s="14" t="s">
        <v>2097</v>
      </c>
      <c r="B14" s="14" t="n">
        <v>13</v>
      </c>
      <c r="C14" s="14" t="n">
        <v>3</v>
      </c>
      <c r="D14" s="14" t="n">
        <v>1</v>
      </c>
      <c r="E14" s="14" t="s">
        <v>2104</v>
      </c>
      <c r="F14" s="14" t="s">
        <v>2087</v>
      </c>
      <c r="G14" s="14" t="s">
        <v>2105</v>
      </c>
    </row>
    <row r="15" customFormat="false" ht="14.5" hidden="false" customHeight="false" outlineLevel="0" collapsed="false">
      <c r="A15" s="14" t="s">
        <v>2097</v>
      </c>
      <c r="B15" s="14" t="n">
        <v>13</v>
      </c>
      <c r="C15" s="14" t="n">
        <v>3</v>
      </c>
      <c r="D15" s="14" t="n">
        <v>2</v>
      </c>
      <c r="E15" s="14" t="s">
        <v>2106</v>
      </c>
      <c r="F15" s="14" t="s">
        <v>2087</v>
      </c>
      <c r="G15" s="14" t="s">
        <v>2107</v>
      </c>
    </row>
    <row r="16" customFormat="false" ht="14.5" hidden="false" customHeight="false" outlineLevel="0" collapsed="false">
      <c r="A16" s="14" t="s">
        <v>2097</v>
      </c>
      <c r="B16" s="14" t="n">
        <v>13</v>
      </c>
      <c r="C16" s="14" t="n">
        <v>3</v>
      </c>
      <c r="D16" s="14" t="n">
        <v>3</v>
      </c>
      <c r="E16" s="14" t="s">
        <v>2108</v>
      </c>
      <c r="F16" s="14" t="s">
        <v>2087</v>
      </c>
      <c r="G16" s="14" t="s">
        <v>2109</v>
      </c>
    </row>
    <row r="17" customFormat="false" ht="14.5" hidden="false" customHeight="false" outlineLevel="0" collapsed="false">
      <c r="A17" s="14" t="s">
        <v>2097</v>
      </c>
      <c r="B17" s="14" t="n">
        <v>13</v>
      </c>
      <c r="C17" s="14" t="n">
        <v>3</v>
      </c>
      <c r="D17" s="14" t="n">
        <v>4</v>
      </c>
      <c r="E17" s="14" t="s">
        <v>2110</v>
      </c>
      <c r="F17" s="14" t="s">
        <v>2087</v>
      </c>
      <c r="G17" s="14" t="s">
        <v>2111</v>
      </c>
    </row>
    <row r="18" customFormat="false" ht="14.5" hidden="false" customHeight="false" outlineLevel="0" collapsed="false">
      <c r="A18" s="14" t="s">
        <v>2097</v>
      </c>
      <c r="B18" s="14" t="n">
        <v>13</v>
      </c>
      <c r="C18" s="14" t="n">
        <v>3</v>
      </c>
      <c r="D18" s="14" t="n">
        <v>5</v>
      </c>
      <c r="E18" s="14" t="s">
        <v>2112</v>
      </c>
      <c r="F18" s="14" t="s">
        <v>2087</v>
      </c>
      <c r="G18" s="14" t="s">
        <v>2113</v>
      </c>
    </row>
    <row r="19" customFormat="false" ht="14.5" hidden="false" customHeight="false" outlineLevel="0" collapsed="false">
      <c r="A19" s="14" t="s">
        <v>2114</v>
      </c>
      <c r="B19" s="14" t="n">
        <v>17</v>
      </c>
      <c r="C19" s="14" t="n">
        <v>1</v>
      </c>
      <c r="D19" s="14" t="n">
        <v>1</v>
      </c>
      <c r="E19" s="14" t="s">
        <v>2115</v>
      </c>
      <c r="F19" s="14" t="s">
        <v>2087</v>
      </c>
      <c r="G19" s="14" t="s">
        <v>2116</v>
      </c>
    </row>
    <row r="20" customFormat="false" ht="14.5" hidden="false" customHeight="false" outlineLevel="0" collapsed="false">
      <c r="A20" s="14" t="s">
        <v>1357</v>
      </c>
      <c r="B20" s="14" t="n">
        <v>17</v>
      </c>
      <c r="C20" s="14" t="n">
        <v>3</v>
      </c>
      <c r="D20" s="14" t="n">
        <v>1</v>
      </c>
      <c r="E20" s="14" t="s">
        <v>2117</v>
      </c>
      <c r="F20" s="14" t="s">
        <v>2118</v>
      </c>
      <c r="G20" s="14" t="s">
        <v>2119</v>
      </c>
    </row>
    <row r="21" customFormat="false" ht="14.5" hidden="false" customHeight="false" outlineLevel="0" collapsed="false">
      <c r="A21" s="14" t="s">
        <v>1357</v>
      </c>
      <c r="B21" s="14" t="n">
        <v>17</v>
      </c>
      <c r="C21" s="14" t="n">
        <v>3</v>
      </c>
      <c r="D21" s="14" t="n">
        <v>2</v>
      </c>
      <c r="E21" s="14" t="s">
        <v>2120</v>
      </c>
      <c r="F21" s="14" t="s">
        <v>2087</v>
      </c>
      <c r="G21" s="14" t="s">
        <v>2121</v>
      </c>
    </row>
    <row r="22" customFormat="false" ht="14.5" hidden="false" customHeight="false" outlineLevel="0" collapsed="false">
      <c r="A22" s="14" t="s">
        <v>2122</v>
      </c>
      <c r="B22" s="14" t="n">
        <v>19</v>
      </c>
      <c r="C22" s="14" t="n">
        <v>1</v>
      </c>
      <c r="D22" s="14" t="n">
        <v>1</v>
      </c>
      <c r="E22" s="14" t="s">
        <v>1957</v>
      </c>
      <c r="F22" s="14" t="s">
        <v>2087</v>
      </c>
      <c r="G22" s="14" t="s">
        <v>2123</v>
      </c>
    </row>
    <row r="23" customFormat="false" ht="14.5" hidden="false" customHeight="false" outlineLevel="0" collapsed="false">
      <c r="A23" s="14" t="s">
        <v>2122</v>
      </c>
      <c r="B23" s="14" t="n">
        <v>19</v>
      </c>
      <c r="C23" s="14" t="n">
        <v>1</v>
      </c>
      <c r="D23" s="14" t="n">
        <v>2</v>
      </c>
      <c r="E23" s="14" t="s">
        <v>1957</v>
      </c>
      <c r="F23" s="14" t="s">
        <v>2087</v>
      </c>
      <c r="G23" s="14" t="s">
        <v>2124</v>
      </c>
    </row>
    <row r="24" customFormat="false" ht="14.5" hidden="false" customHeight="false" outlineLevel="0" collapsed="false">
      <c r="A24" s="14" t="s">
        <v>2122</v>
      </c>
      <c r="B24" s="14" t="n">
        <v>19</v>
      </c>
      <c r="C24" s="14" t="n">
        <v>1</v>
      </c>
      <c r="D24" s="14" t="n">
        <v>3</v>
      </c>
      <c r="E24" s="14" t="s">
        <v>2125</v>
      </c>
      <c r="F24" s="14" t="s">
        <v>2087</v>
      </c>
      <c r="G24" s="14" t="s">
        <v>2126</v>
      </c>
    </row>
    <row r="25" customFormat="false" ht="14.5" hidden="false" customHeight="false" outlineLevel="0" collapsed="false">
      <c r="A25" s="14" t="s">
        <v>2127</v>
      </c>
      <c r="B25" s="14" t="n">
        <v>19</v>
      </c>
      <c r="C25" s="14" t="n">
        <v>2</v>
      </c>
      <c r="D25" s="14" t="n">
        <v>1</v>
      </c>
      <c r="E25" s="14" t="s">
        <v>1957</v>
      </c>
      <c r="F25" s="14" t="s">
        <v>2087</v>
      </c>
      <c r="G25" s="14" t="s">
        <v>2128</v>
      </c>
    </row>
    <row r="26" customFormat="false" ht="14.5" hidden="false" customHeight="false" outlineLevel="0" collapsed="false">
      <c r="A26" s="14" t="s">
        <v>2127</v>
      </c>
      <c r="B26" s="14" t="n">
        <v>19</v>
      </c>
      <c r="C26" s="14" t="n">
        <v>2</v>
      </c>
      <c r="D26" s="14" t="n">
        <v>2</v>
      </c>
      <c r="E26" s="14" t="s">
        <v>1957</v>
      </c>
      <c r="F26" s="14" t="s">
        <v>2087</v>
      </c>
      <c r="G26" s="14" t="s">
        <v>2129</v>
      </c>
    </row>
    <row r="27" customFormat="false" ht="14.5" hidden="false" customHeight="false" outlineLevel="0" collapsed="false">
      <c r="A27" s="14" t="s">
        <v>927</v>
      </c>
      <c r="B27" s="14" t="n">
        <v>20</v>
      </c>
      <c r="C27" s="14" t="n">
        <v>1</v>
      </c>
      <c r="D27" s="14" t="n">
        <v>1</v>
      </c>
      <c r="E27" s="14" t="s">
        <v>1231</v>
      </c>
      <c r="F27" s="14" t="s">
        <v>2087</v>
      </c>
      <c r="G27" s="14" t="s">
        <v>2130</v>
      </c>
    </row>
    <row r="28" customFormat="false" ht="14.5" hidden="false" customHeight="false" outlineLevel="0" collapsed="false">
      <c r="A28" s="14" t="s">
        <v>927</v>
      </c>
      <c r="B28" s="14" t="n">
        <v>20</v>
      </c>
      <c r="C28" s="14" t="n">
        <v>1</v>
      </c>
      <c r="D28" s="14" t="n">
        <v>1</v>
      </c>
      <c r="E28" s="14" t="s">
        <v>2131</v>
      </c>
      <c r="F28" s="14" t="s">
        <v>2087</v>
      </c>
      <c r="G28" s="14" t="s">
        <v>2132</v>
      </c>
    </row>
    <row r="29" customFormat="false" ht="14.5" hidden="false" customHeight="false" outlineLevel="0" collapsed="false">
      <c r="A29" s="14" t="s">
        <v>927</v>
      </c>
      <c r="B29" s="14" t="n">
        <v>20</v>
      </c>
      <c r="C29" s="14" t="n">
        <v>1</v>
      </c>
      <c r="D29" s="14" t="n">
        <v>2</v>
      </c>
      <c r="E29" s="14" t="s">
        <v>2133</v>
      </c>
      <c r="F29" s="14" t="s">
        <v>2087</v>
      </c>
      <c r="G29" s="14" t="s">
        <v>2134</v>
      </c>
    </row>
    <row r="30" customFormat="false" ht="14.5" hidden="false" customHeight="false" outlineLevel="0" collapsed="false">
      <c r="A30" s="14" t="s">
        <v>927</v>
      </c>
      <c r="B30" s="14" t="n">
        <v>20</v>
      </c>
      <c r="C30" s="14" t="n">
        <v>1</v>
      </c>
      <c r="D30" s="14" t="n">
        <v>1</v>
      </c>
      <c r="E30" s="14" t="s">
        <v>928</v>
      </c>
      <c r="F30" s="14" t="s">
        <v>2087</v>
      </c>
      <c r="G30" s="14" t="s">
        <v>2135</v>
      </c>
    </row>
    <row r="31" customFormat="false" ht="14.5" hidden="false" customHeight="false" outlineLevel="0" collapsed="false">
      <c r="A31" s="14" t="s">
        <v>927</v>
      </c>
      <c r="B31" s="14" t="n">
        <v>20</v>
      </c>
      <c r="C31" s="14" t="n">
        <v>1</v>
      </c>
      <c r="D31" s="14" t="n">
        <v>1</v>
      </c>
      <c r="E31" s="14" t="s">
        <v>2136</v>
      </c>
      <c r="F31" s="14" t="s">
        <v>2087</v>
      </c>
      <c r="G31" s="14" t="s">
        <v>2137</v>
      </c>
    </row>
    <row r="32" customFormat="false" ht="14.5" hidden="false" customHeight="false" outlineLevel="0" collapsed="false">
      <c r="A32" s="14" t="s">
        <v>927</v>
      </c>
      <c r="B32" s="14" t="n">
        <v>20</v>
      </c>
      <c r="C32" s="14" t="n">
        <v>1</v>
      </c>
      <c r="D32" s="14" t="n">
        <v>2</v>
      </c>
      <c r="E32" s="14" t="s">
        <v>2138</v>
      </c>
      <c r="F32" s="14" t="s">
        <v>2087</v>
      </c>
      <c r="G32" s="14" t="s">
        <v>2139</v>
      </c>
    </row>
    <row r="33" customFormat="false" ht="14.5" hidden="false" customHeight="false" outlineLevel="0" collapsed="false">
      <c r="A33" s="14" t="s">
        <v>950</v>
      </c>
      <c r="B33" s="14" t="n">
        <v>20</v>
      </c>
      <c r="C33" s="14" t="n">
        <v>2</v>
      </c>
      <c r="D33" s="14" t="n">
        <v>1</v>
      </c>
      <c r="E33" s="14" t="s">
        <v>936</v>
      </c>
      <c r="F33" s="14" t="s">
        <v>2087</v>
      </c>
      <c r="G33" s="14" t="s">
        <v>2140</v>
      </c>
    </row>
    <row r="34" customFormat="false" ht="14.5" hidden="false" customHeight="false" outlineLevel="0" collapsed="false">
      <c r="A34" s="14" t="s">
        <v>950</v>
      </c>
      <c r="B34" s="14" t="n">
        <v>20</v>
      </c>
      <c r="C34" s="14" t="n">
        <v>2</v>
      </c>
      <c r="D34" s="14" t="n">
        <v>2</v>
      </c>
      <c r="E34" s="14" t="s">
        <v>2138</v>
      </c>
      <c r="F34" s="14" t="s">
        <v>2087</v>
      </c>
      <c r="G34" s="14" t="s">
        <v>2141</v>
      </c>
    </row>
    <row r="35" customFormat="false" ht="14.5" hidden="false" customHeight="false" outlineLevel="0" collapsed="false">
      <c r="A35" s="14" t="s">
        <v>950</v>
      </c>
      <c r="B35" s="14" t="n">
        <v>20</v>
      </c>
      <c r="C35" s="14" t="n">
        <v>2</v>
      </c>
      <c r="D35" s="14" t="n">
        <v>3</v>
      </c>
      <c r="E35" s="14" t="s">
        <v>2136</v>
      </c>
      <c r="F35" s="14" t="s">
        <v>2087</v>
      </c>
      <c r="G35" s="14" t="s">
        <v>2142</v>
      </c>
    </row>
    <row r="36" customFormat="false" ht="14.5" hidden="false" customHeight="false" outlineLevel="0" collapsed="false">
      <c r="A36" s="14" t="s">
        <v>965</v>
      </c>
      <c r="B36" s="14" t="n">
        <v>20</v>
      </c>
      <c r="C36" s="14" t="n">
        <v>3</v>
      </c>
      <c r="D36" s="14" t="n">
        <v>1</v>
      </c>
      <c r="E36" s="14" t="s">
        <v>1231</v>
      </c>
      <c r="F36" s="14" t="s">
        <v>2087</v>
      </c>
      <c r="G36" s="14" t="s">
        <v>2143</v>
      </c>
    </row>
    <row r="37" customFormat="false" ht="14.5" hidden="false" customHeight="false" outlineLevel="0" collapsed="false">
      <c r="A37" s="14" t="s">
        <v>965</v>
      </c>
      <c r="B37" s="14" t="n">
        <v>20</v>
      </c>
      <c r="C37" s="14" t="n">
        <v>3</v>
      </c>
      <c r="D37" s="14" t="n">
        <v>2</v>
      </c>
      <c r="E37" s="14" t="s">
        <v>1561</v>
      </c>
      <c r="F37" s="14" t="s">
        <v>2087</v>
      </c>
      <c r="G37" s="14" t="s">
        <v>2144</v>
      </c>
    </row>
    <row r="38" customFormat="false" ht="14.5" hidden="false" customHeight="false" outlineLevel="0" collapsed="false">
      <c r="A38" s="14" t="s">
        <v>978</v>
      </c>
      <c r="B38" s="14" t="n">
        <v>23</v>
      </c>
      <c r="C38" s="14" t="n">
        <v>1</v>
      </c>
      <c r="D38" s="14" t="n">
        <v>1</v>
      </c>
      <c r="E38" s="14" t="s">
        <v>2145</v>
      </c>
      <c r="F38" s="14" t="s">
        <v>2087</v>
      </c>
      <c r="G38" s="14" t="s">
        <v>2146</v>
      </c>
    </row>
    <row r="39" customFormat="false" ht="14.5" hidden="false" customHeight="false" outlineLevel="0" collapsed="false">
      <c r="A39" s="14" t="s">
        <v>978</v>
      </c>
      <c r="B39" s="14" t="n">
        <v>23</v>
      </c>
      <c r="C39" s="14" t="n">
        <v>1</v>
      </c>
      <c r="D39" s="14" t="n">
        <v>1</v>
      </c>
      <c r="E39" s="14" t="s">
        <v>2147</v>
      </c>
      <c r="F39" s="14" t="s">
        <v>2087</v>
      </c>
      <c r="G39" s="14" t="s">
        <v>2148</v>
      </c>
    </row>
    <row r="40" customFormat="false" ht="14.5" hidden="false" customHeight="false" outlineLevel="0" collapsed="false">
      <c r="A40" s="14" t="s">
        <v>978</v>
      </c>
      <c r="B40" s="14" t="n">
        <v>23</v>
      </c>
      <c r="C40" s="14" t="n">
        <v>1</v>
      </c>
      <c r="D40" s="14" t="n">
        <v>1</v>
      </c>
      <c r="E40" s="14" t="s">
        <v>2149</v>
      </c>
      <c r="F40" s="14" t="s">
        <v>2087</v>
      </c>
      <c r="G40" s="14" t="s">
        <v>2150</v>
      </c>
    </row>
    <row r="41" customFormat="false" ht="14.5" hidden="false" customHeight="false" outlineLevel="0" collapsed="false">
      <c r="A41" s="14" t="s">
        <v>978</v>
      </c>
      <c r="B41" s="14" t="n">
        <v>23</v>
      </c>
      <c r="C41" s="14" t="n">
        <v>1</v>
      </c>
      <c r="D41" s="14" t="n">
        <v>1</v>
      </c>
      <c r="E41" s="14" t="s">
        <v>2149</v>
      </c>
      <c r="F41" s="14" t="s">
        <v>2087</v>
      </c>
      <c r="G41" s="14" t="s">
        <v>2151</v>
      </c>
    </row>
    <row r="42" customFormat="false" ht="14.5" hidden="false" customHeight="false" outlineLevel="0" collapsed="false">
      <c r="A42" s="14" t="s">
        <v>978</v>
      </c>
      <c r="B42" s="14" t="n">
        <v>23</v>
      </c>
      <c r="C42" s="14" t="n">
        <v>1</v>
      </c>
      <c r="D42" s="14" t="n">
        <v>1</v>
      </c>
      <c r="E42" s="14" t="s">
        <v>2152</v>
      </c>
      <c r="F42" s="14" t="s">
        <v>2087</v>
      </c>
      <c r="G42" s="14" t="s">
        <v>2153</v>
      </c>
    </row>
    <row r="43" customFormat="false" ht="14.5" hidden="false" customHeight="false" outlineLevel="0" collapsed="false">
      <c r="A43" s="14" t="s">
        <v>988</v>
      </c>
      <c r="B43" s="14" t="n">
        <v>23</v>
      </c>
      <c r="C43" s="14" t="n">
        <v>2</v>
      </c>
      <c r="D43" s="14" t="n">
        <v>1</v>
      </c>
      <c r="E43" s="14" t="s">
        <v>2145</v>
      </c>
      <c r="F43" s="14" t="s">
        <v>2087</v>
      </c>
      <c r="G43" s="14" t="s">
        <v>2154</v>
      </c>
    </row>
    <row r="44" customFormat="false" ht="14.5" hidden="false" customHeight="false" outlineLevel="0" collapsed="false">
      <c r="A44" s="14" t="s">
        <v>985</v>
      </c>
      <c r="B44" s="14" t="n">
        <v>23</v>
      </c>
      <c r="C44" s="14" t="n">
        <v>3</v>
      </c>
      <c r="D44" s="14" t="n">
        <v>1</v>
      </c>
      <c r="E44" s="14" t="s">
        <v>2145</v>
      </c>
      <c r="F44" s="14" t="s">
        <v>2087</v>
      </c>
      <c r="G44" s="14" t="s">
        <v>2155</v>
      </c>
    </row>
    <row r="45" customFormat="false" ht="14.5" hidden="false" customHeight="false" outlineLevel="0" collapsed="false">
      <c r="A45" s="14" t="s">
        <v>2156</v>
      </c>
      <c r="B45" s="14" t="n">
        <v>38</v>
      </c>
      <c r="C45" s="14" t="n">
        <v>2</v>
      </c>
      <c r="D45" s="14" t="n">
        <v>1</v>
      </c>
      <c r="E45" s="14" t="s">
        <v>2157</v>
      </c>
      <c r="F45" s="14" t="s">
        <v>2087</v>
      </c>
      <c r="G45" s="14" t="s">
        <v>2158</v>
      </c>
    </row>
    <row r="46" customFormat="false" ht="14.5" hidden="false" customHeight="false" outlineLevel="0" collapsed="false">
      <c r="A46" s="14" t="s">
        <v>2156</v>
      </c>
      <c r="B46" s="14" t="n">
        <v>38</v>
      </c>
      <c r="C46" s="14" t="n">
        <v>2</v>
      </c>
      <c r="D46" s="14" t="n">
        <v>1</v>
      </c>
      <c r="E46" s="14" t="s">
        <v>2159</v>
      </c>
      <c r="F46" s="14" t="s">
        <v>2087</v>
      </c>
      <c r="G46" s="14" t="s">
        <v>2160</v>
      </c>
    </row>
    <row r="47" customFormat="false" ht="14.5" hidden="false" customHeight="false" outlineLevel="0" collapsed="false">
      <c r="A47" s="14" t="s">
        <v>1003</v>
      </c>
      <c r="B47" s="14" t="n">
        <v>42</v>
      </c>
      <c r="C47" s="14" t="n">
        <v>2</v>
      </c>
      <c r="D47" s="14" t="n">
        <v>1</v>
      </c>
      <c r="E47" s="14" t="s">
        <v>2161</v>
      </c>
      <c r="F47" s="14" t="s">
        <v>2087</v>
      </c>
      <c r="G47" s="14" t="s">
        <v>2162</v>
      </c>
    </row>
    <row r="48" customFormat="false" ht="14.5" hidden="false" customHeight="false" outlineLevel="0" collapsed="false">
      <c r="A48" s="14" t="s">
        <v>1003</v>
      </c>
      <c r="B48" s="14" t="n">
        <v>42</v>
      </c>
      <c r="C48" s="14" t="n">
        <v>2</v>
      </c>
      <c r="D48" s="14" t="n">
        <v>1</v>
      </c>
      <c r="E48" s="14" t="s">
        <v>2163</v>
      </c>
      <c r="F48" s="14" t="s">
        <v>2087</v>
      </c>
      <c r="G48" s="14" t="s">
        <v>2164</v>
      </c>
    </row>
    <row r="49" customFormat="false" ht="14.5" hidden="false" customHeight="false" outlineLevel="0" collapsed="false">
      <c r="A49" s="14" t="s">
        <v>1008</v>
      </c>
      <c r="B49" s="14" t="n">
        <v>42</v>
      </c>
      <c r="C49" s="14" t="n">
        <v>3</v>
      </c>
      <c r="D49" s="14" t="n">
        <v>3</v>
      </c>
      <c r="E49" s="14" t="s">
        <v>2165</v>
      </c>
      <c r="F49" s="14" t="s">
        <v>2118</v>
      </c>
      <c r="G49" s="14" t="s">
        <v>2166</v>
      </c>
    </row>
    <row r="50" customFormat="false" ht="14.5" hidden="false" customHeight="false" outlineLevel="0" collapsed="false">
      <c r="A50" s="14" t="s">
        <v>2167</v>
      </c>
      <c r="B50" s="14" t="n">
        <v>51</v>
      </c>
      <c r="C50" s="14" t="n">
        <v>1</v>
      </c>
      <c r="D50" s="14" t="n">
        <v>1</v>
      </c>
      <c r="E50" s="14" t="s">
        <v>2168</v>
      </c>
      <c r="F50" s="14" t="s">
        <v>2087</v>
      </c>
      <c r="G50" s="14" t="s">
        <v>2169</v>
      </c>
    </row>
    <row r="51" customFormat="false" ht="14.5" hidden="false" customHeight="false" outlineLevel="0" collapsed="false">
      <c r="A51" s="14" t="s">
        <v>2167</v>
      </c>
      <c r="B51" s="14" t="n">
        <v>51</v>
      </c>
      <c r="C51" s="14" t="n">
        <v>1</v>
      </c>
      <c r="D51" s="14" t="n">
        <v>2</v>
      </c>
      <c r="E51" s="14" t="s">
        <v>2168</v>
      </c>
      <c r="F51" s="14" t="s">
        <v>2087</v>
      </c>
      <c r="G51" s="14" t="s">
        <v>2170</v>
      </c>
    </row>
    <row r="52" customFormat="false" ht="14.5" hidden="false" customHeight="false" outlineLevel="0" collapsed="false">
      <c r="A52" s="14" t="s">
        <v>2171</v>
      </c>
      <c r="B52" s="14" t="n">
        <v>51</v>
      </c>
      <c r="C52" s="14" t="n">
        <v>2</v>
      </c>
      <c r="D52" s="14" t="n">
        <v>1</v>
      </c>
      <c r="E52" s="14" t="s">
        <v>2168</v>
      </c>
      <c r="F52" s="14" t="s">
        <v>2087</v>
      </c>
      <c r="G52" s="14" t="s">
        <v>2172</v>
      </c>
    </row>
    <row r="53" customFormat="false" ht="14.5" hidden="false" customHeight="false" outlineLevel="0" collapsed="false">
      <c r="A53" s="14" t="s">
        <v>2171</v>
      </c>
      <c r="B53" s="14" t="n">
        <v>51</v>
      </c>
      <c r="C53" s="14" t="n">
        <v>2</v>
      </c>
      <c r="D53" s="14" t="n">
        <v>2</v>
      </c>
      <c r="E53" s="14" t="s">
        <v>1489</v>
      </c>
      <c r="F53" s="14" t="s">
        <v>2087</v>
      </c>
      <c r="G53" s="14" t="s">
        <v>2173</v>
      </c>
    </row>
    <row r="54" customFormat="false" ht="14.5" hidden="false" customHeight="false" outlineLevel="0" collapsed="false">
      <c r="A54" s="14" t="s">
        <v>2174</v>
      </c>
      <c r="B54" s="14" t="n">
        <v>51</v>
      </c>
      <c r="C54" s="14" t="n">
        <v>3</v>
      </c>
      <c r="D54" s="14" t="n">
        <v>1</v>
      </c>
      <c r="E54" s="14" t="s">
        <v>2168</v>
      </c>
      <c r="F54" s="14" t="s">
        <v>2175</v>
      </c>
      <c r="G54" s="14" t="s">
        <v>2176</v>
      </c>
    </row>
    <row r="55" customFormat="false" ht="14.5" hidden="false" customHeight="false" outlineLevel="0" collapsed="false">
      <c r="A55" s="14" t="s">
        <v>1013</v>
      </c>
      <c r="B55" s="14" t="n">
        <v>52</v>
      </c>
      <c r="C55" s="14" t="n">
        <v>1</v>
      </c>
      <c r="D55" s="14" t="n">
        <v>1</v>
      </c>
      <c r="E55" s="14" t="s">
        <v>1058</v>
      </c>
      <c r="F55" s="14" t="s">
        <v>2087</v>
      </c>
      <c r="G55" s="14" t="s">
        <v>2177</v>
      </c>
    </row>
    <row r="56" customFormat="false" ht="14.5" hidden="false" customHeight="false" outlineLevel="0" collapsed="false">
      <c r="A56" s="14" t="s">
        <v>1013</v>
      </c>
      <c r="B56" s="14" t="n">
        <v>52</v>
      </c>
      <c r="C56" s="14" t="n">
        <v>1</v>
      </c>
      <c r="D56" s="14" t="n">
        <v>2</v>
      </c>
      <c r="E56" s="14" t="s">
        <v>1592</v>
      </c>
      <c r="F56" s="14" t="s">
        <v>2087</v>
      </c>
      <c r="G56" s="14" t="s">
        <v>2178</v>
      </c>
    </row>
    <row r="57" customFormat="false" ht="14.5" hidden="false" customHeight="false" outlineLevel="0" collapsed="false">
      <c r="A57" s="14" t="s">
        <v>1013</v>
      </c>
      <c r="B57" s="14" t="n">
        <v>52</v>
      </c>
      <c r="C57" s="14" t="n">
        <v>1</v>
      </c>
      <c r="D57" s="14" t="n">
        <v>1</v>
      </c>
      <c r="E57" s="14" t="s">
        <v>2179</v>
      </c>
      <c r="F57" s="14" t="s">
        <v>2087</v>
      </c>
      <c r="G57" s="14" t="s">
        <v>2180</v>
      </c>
    </row>
    <row r="58" customFormat="false" ht="14.5" hidden="false" customHeight="false" outlineLevel="0" collapsed="false">
      <c r="A58" s="14" t="s">
        <v>1016</v>
      </c>
      <c r="B58" s="14" t="n">
        <v>52</v>
      </c>
      <c r="C58" s="14" t="n">
        <v>2</v>
      </c>
      <c r="D58" s="14" t="n">
        <v>1</v>
      </c>
      <c r="E58" s="14" t="s">
        <v>1592</v>
      </c>
      <c r="F58" s="14" t="s">
        <v>2087</v>
      </c>
      <c r="G58" s="14" t="s">
        <v>2181</v>
      </c>
    </row>
    <row r="59" customFormat="false" ht="14.5" hidden="false" customHeight="false" outlineLevel="0" collapsed="false">
      <c r="A59" s="14" t="s">
        <v>1016</v>
      </c>
      <c r="B59" s="14" t="n">
        <v>52</v>
      </c>
      <c r="C59" s="14" t="n">
        <v>2</v>
      </c>
      <c r="D59" s="14" t="n">
        <v>1</v>
      </c>
      <c r="E59" s="14" t="s">
        <v>2179</v>
      </c>
      <c r="F59" s="14" t="s">
        <v>2087</v>
      </c>
      <c r="G59" s="14" t="s">
        <v>2182</v>
      </c>
    </row>
    <row r="60" customFormat="false" ht="14.5" hidden="false" customHeight="false" outlineLevel="0" collapsed="false">
      <c r="A60" s="14" t="s">
        <v>1016</v>
      </c>
      <c r="B60" s="14" t="n">
        <v>52</v>
      </c>
      <c r="C60" s="14" t="n">
        <v>2</v>
      </c>
      <c r="D60" s="14" t="n">
        <v>2</v>
      </c>
      <c r="E60" s="14" t="s">
        <v>1489</v>
      </c>
      <c r="F60" s="14" t="s">
        <v>2087</v>
      </c>
      <c r="G60" s="14" t="s">
        <v>2183</v>
      </c>
    </row>
    <row r="61" customFormat="false" ht="14.5" hidden="false" customHeight="false" outlineLevel="0" collapsed="false">
      <c r="A61" s="14" t="s">
        <v>1029</v>
      </c>
      <c r="B61" s="14" t="n">
        <v>52</v>
      </c>
      <c r="C61" s="14" t="n">
        <v>3</v>
      </c>
      <c r="D61" s="14" t="n">
        <v>1</v>
      </c>
      <c r="E61" s="14" t="s">
        <v>2179</v>
      </c>
      <c r="F61" s="14" t="s">
        <v>2087</v>
      </c>
      <c r="G61" s="14" t="s">
        <v>2184</v>
      </c>
    </row>
    <row r="62" customFormat="false" ht="14.5" hidden="false" customHeight="false" outlineLevel="0" collapsed="false">
      <c r="A62" s="14" t="s">
        <v>1029</v>
      </c>
      <c r="B62" s="14" t="n">
        <v>52</v>
      </c>
      <c r="C62" s="14" t="n">
        <v>3</v>
      </c>
      <c r="D62" s="14" t="n">
        <v>2</v>
      </c>
      <c r="E62" s="14" t="s">
        <v>2185</v>
      </c>
      <c r="F62" s="14" t="s">
        <v>2087</v>
      </c>
      <c r="G62" s="14" t="s">
        <v>2186</v>
      </c>
    </row>
    <row r="63" customFormat="false" ht="14.5" hidden="false" customHeight="false" outlineLevel="0" collapsed="false">
      <c r="A63" s="14" t="s">
        <v>2187</v>
      </c>
      <c r="B63" s="14" t="n">
        <v>64</v>
      </c>
      <c r="C63" s="14" t="n">
        <v>2</v>
      </c>
      <c r="D63" s="14" t="n">
        <v>1</v>
      </c>
      <c r="E63" s="14" t="s">
        <v>2188</v>
      </c>
      <c r="F63" s="14" t="s">
        <v>2087</v>
      </c>
      <c r="G63" s="14" t="s">
        <v>2189</v>
      </c>
    </row>
    <row r="64" customFormat="false" ht="14.5" hidden="false" customHeight="false" outlineLevel="0" collapsed="false">
      <c r="A64" s="14" t="s">
        <v>2187</v>
      </c>
      <c r="B64" s="14" t="n">
        <v>64</v>
      </c>
      <c r="C64" s="14" t="n">
        <v>2</v>
      </c>
      <c r="D64" s="14" t="n">
        <v>1</v>
      </c>
      <c r="E64" s="14" t="s">
        <v>2190</v>
      </c>
      <c r="F64" s="14" t="s">
        <v>2087</v>
      </c>
      <c r="G64" s="14" t="s">
        <v>2191</v>
      </c>
    </row>
    <row r="65" customFormat="false" ht="14.5" hidden="false" customHeight="false" outlineLevel="0" collapsed="false">
      <c r="A65" s="14" t="s">
        <v>2192</v>
      </c>
      <c r="B65" s="14" t="n">
        <v>64</v>
      </c>
      <c r="C65" s="14" t="n">
        <v>3</v>
      </c>
      <c r="D65" s="14" t="n">
        <v>1</v>
      </c>
      <c r="E65" s="14" t="s">
        <v>2188</v>
      </c>
      <c r="F65" s="14" t="s">
        <v>2087</v>
      </c>
      <c r="G65" s="14" t="s">
        <v>2193</v>
      </c>
    </row>
    <row r="66" customFormat="false" ht="14.5" hidden="false" customHeight="false" outlineLevel="0" collapsed="false">
      <c r="A66" s="14" t="s">
        <v>1831</v>
      </c>
      <c r="B66" s="14" t="n">
        <v>71</v>
      </c>
      <c r="C66" s="14" t="n">
        <v>1</v>
      </c>
      <c r="D66" s="14" t="n">
        <v>1</v>
      </c>
      <c r="E66" s="14" t="s">
        <v>2194</v>
      </c>
      <c r="F66" s="14" t="s">
        <v>2087</v>
      </c>
      <c r="G66" s="14" t="s">
        <v>2195</v>
      </c>
    </row>
    <row r="67" customFormat="false" ht="14.5" hidden="false" customHeight="false" outlineLevel="0" collapsed="false">
      <c r="A67" s="14" t="s">
        <v>1831</v>
      </c>
      <c r="B67" s="14" t="n">
        <v>71</v>
      </c>
      <c r="C67" s="14" t="n">
        <v>1</v>
      </c>
      <c r="D67" s="14" t="n">
        <v>2</v>
      </c>
      <c r="E67" s="14" t="s">
        <v>2196</v>
      </c>
      <c r="F67" s="14" t="s">
        <v>2087</v>
      </c>
      <c r="G67" s="14" t="s">
        <v>2197</v>
      </c>
    </row>
    <row r="68" customFormat="false" ht="14.5" hidden="false" customHeight="false" outlineLevel="0" collapsed="false">
      <c r="A68" s="14" t="s">
        <v>1831</v>
      </c>
      <c r="B68" s="14" t="n">
        <v>71</v>
      </c>
      <c r="C68" s="14" t="n">
        <v>1</v>
      </c>
      <c r="D68" s="14" t="n">
        <v>1</v>
      </c>
      <c r="E68" s="14" t="s">
        <v>2198</v>
      </c>
      <c r="F68" s="14" t="s">
        <v>2087</v>
      </c>
      <c r="G68" s="14" t="s">
        <v>2199</v>
      </c>
    </row>
    <row r="69" customFormat="false" ht="14.5" hidden="false" customHeight="false" outlineLevel="0" collapsed="false">
      <c r="A69" s="14" t="s">
        <v>1831</v>
      </c>
      <c r="B69" s="14" t="n">
        <v>71</v>
      </c>
      <c r="C69" s="14" t="n">
        <v>1</v>
      </c>
      <c r="D69" s="14" t="n">
        <v>1</v>
      </c>
      <c r="E69" s="14" t="s">
        <v>2200</v>
      </c>
      <c r="F69" s="14" t="s">
        <v>2087</v>
      </c>
      <c r="G69" s="14" t="s">
        <v>2201</v>
      </c>
    </row>
    <row r="70" customFormat="false" ht="14.5" hidden="false" customHeight="false" outlineLevel="0" collapsed="false">
      <c r="A70" s="14" t="s">
        <v>1831</v>
      </c>
      <c r="B70" s="14" t="n">
        <v>71</v>
      </c>
      <c r="C70" s="14" t="n">
        <v>1</v>
      </c>
      <c r="D70" s="14" t="n">
        <v>1</v>
      </c>
      <c r="E70" s="14" t="s">
        <v>1592</v>
      </c>
      <c r="F70" s="14" t="s">
        <v>2087</v>
      </c>
      <c r="G70" s="14" t="s">
        <v>2202</v>
      </c>
    </row>
    <row r="71" customFormat="false" ht="14.5" hidden="false" customHeight="false" outlineLevel="0" collapsed="false">
      <c r="A71" s="14" t="s">
        <v>1831</v>
      </c>
      <c r="B71" s="14" t="n">
        <v>71</v>
      </c>
      <c r="C71" s="14" t="n">
        <v>1</v>
      </c>
      <c r="D71" s="14" t="n">
        <v>2</v>
      </c>
      <c r="E71" s="14" t="s">
        <v>2203</v>
      </c>
      <c r="F71" s="14" t="s">
        <v>2087</v>
      </c>
      <c r="G71" s="14" t="s">
        <v>2204</v>
      </c>
    </row>
    <row r="72" customFormat="false" ht="14.5" hidden="false" customHeight="false" outlineLevel="0" collapsed="false">
      <c r="A72" s="14" t="s">
        <v>2205</v>
      </c>
      <c r="B72" s="14" t="n">
        <v>71</v>
      </c>
      <c r="C72" s="14" t="n">
        <v>2</v>
      </c>
      <c r="D72" s="14" t="n">
        <v>1</v>
      </c>
      <c r="E72" s="14" t="s">
        <v>2194</v>
      </c>
      <c r="F72" s="14" t="s">
        <v>2087</v>
      </c>
      <c r="G72" s="14" t="s">
        <v>2206</v>
      </c>
    </row>
    <row r="73" customFormat="false" ht="14.5" hidden="false" customHeight="false" outlineLevel="0" collapsed="false">
      <c r="A73" s="14" t="s">
        <v>2205</v>
      </c>
      <c r="B73" s="14" t="n">
        <v>71</v>
      </c>
      <c r="C73" s="14" t="n">
        <v>2</v>
      </c>
      <c r="D73" s="14" t="n">
        <v>2</v>
      </c>
      <c r="E73" s="14" t="s">
        <v>2194</v>
      </c>
      <c r="F73" s="14" t="s">
        <v>2087</v>
      </c>
      <c r="G73" s="14" t="s">
        <v>2207</v>
      </c>
    </row>
    <row r="74" customFormat="false" ht="14.5" hidden="false" customHeight="false" outlineLevel="0" collapsed="false">
      <c r="A74" s="14" t="s">
        <v>2205</v>
      </c>
      <c r="B74" s="14" t="n">
        <v>71</v>
      </c>
      <c r="C74" s="14" t="n">
        <v>2</v>
      </c>
      <c r="D74" s="14" t="n">
        <v>1</v>
      </c>
      <c r="E74" s="14" t="s">
        <v>2198</v>
      </c>
      <c r="F74" s="14" t="s">
        <v>2087</v>
      </c>
      <c r="G74" s="14" t="s">
        <v>2208</v>
      </c>
    </row>
    <row r="75" customFormat="false" ht="14.5" hidden="false" customHeight="false" outlineLevel="0" collapsed="false">
      <c r="A75" s="14" t="s">
        <v>2205</v>
      </c>
      <c r="B75" s="14" t="n">
        <v>71</v>
      </c>
      <c r="C75" s="14" t="n">
        <v>2</v>
      </c>
      <c r="D75" s="14" t="n">
        <v>2</v>
      </c>
      <c r="E75" s="14" t="s">
        <v>2209</v>
      </c>
      <c r="F75" s="14" t="s">
        <v>2087</v>
      </c>
      <c r="G75" s="14" t="s">
        <v>2210</v>
      </c>
    </row>
    <row r="76" customFormat="false" ht="14.5" hidden="false" customHeight="false" outlineLevel="0" collapsed="false">
      <c r="A76" s="14" t="s">
        <v>2205</v>
      </c>
      <c r="B76" s="14" t="n">
        <v>71</v>
      </c>
      <c r="C76" s="14" t="n">
        <v>2</v>
      </c>
      <c r="D76" s="14" t="n">
        <v>1</v>
      </c>
      <c r="E76" s="14" t="s">
        <v>2211</v>
      </c>
      <c r="F76" s="14" t="s">
        <v>2087</v>
      </c>
      <c r="G76" s="14" t="s">
        <v>2212</v>
      </c>
    </row>
    <row r="77" customFormat="false" ht="14.5" hidden="false" customHeight="false" outlineLevel="0" collapsed="false">
      <c r="A77" s="14" t="s">
        <v>2205</v>
      </c>
      <c r="B77" s="14" t="n">
        <v>71</v>
      </c>
      <c r="C77" s="14" t="n">
        <v>2</v>
      </c>
      <c r="D77" s="14" t="n">
        <v>2</v>
      </c>
      <c r="E77" s="14" t="s">
        <v>2203</v>
      </c>
      <c r="F77" s="14" t="s">
        <v>2087</v>
      </c>
      <c r="G77" s="14" t="s">
        <v>2213</v>
      </c>
    </row>
    <row r="78" customFormat="false" ht="14.5" hidden="false" customHeight="false" outlineLevel="0" collapsed="false">
      <c r="A78" s="14" t="s">
        <v>2214</v>
      </c>
      <c r="B78" s="14" t="n">
        <v>71</v>
      </c>
      <c r="C78" s="14" t="n">
        <v>3</v>
      </c>
      <c r="D78" s="14" t="n">
        <v>1</v>
      </c>
      <c r="E78" s="14" t="s">
        <v>2194</v>
      </c>
      <c r="F78" s="14" t="s">
        <v>2087</v>
      </c>
      <c r="G78" s="14" t="s">
        <v>2215</v>
      </c>
    </row>
    <row r="79" customFormat="false" ht="14.5" hidden="false" customHeight="false" outlineLevel="0" collapsed="false">
      <c r="A79" s="14" t="s">
        <v>2214</v>
      </c>
      <c r="B79" s="14" t="n">
        <v>71</v>
      </c>
      <c r="C79" s="14" t="n">
        <v>3</v>
      </c>
      <c r="D79" s="14" t="n">
        <v>1</v>
      </c>
      <c r="E79" s="14" t="s">
        <v>1592</v>
      </c>
      <c r="F79" s="14" t="s">
        <v>2087</v>
      </c>
      <c r="G79" s="14" t="s">
        <v>2216</v>
      </c>
    </row>
    <row r="80" customFormat="false" ht="14.5" hidden="false" customHeight="false" outlineLevel="0" collapsed="false">
      <c r="A80" s="14" t="s">
        <v>2214</v>
      </c>
      <c r="B80" s="14" t="n">
        <v>71</v>
      </c>
      <c r="C80" s="14" t="n">
        <v>3</v>
      </c>
      <c r="D80" s="14" t="n">
        <v>2</v>
      </c>
      <c r="E80" s="14" t="s">
        <v>2211</v>
      </c>
      <c r="F80" s="14" t="s">
        <v>2087</v>
      </c>
      <c r="G80" s="14" t="s">
        <v>2217</v>
      </c>
    </row>
    <row r="81" customFormat="false" ht="14.5" hidden="false" customHeight="false" outlineLevel="0" collapsed="false">
      <c r="A81" s="14" t="s">
        <v>2218</v>
      </c>
      <c r="B81" s="14" t="n">
        <v>74</v>
      </c>
      <c r="C81" s="14" t="n">
        <v>3</v>
      </c>
      <c r="D81" s="14" t="n">
        <v>1</v>
      </c>
      <c r="E81" s="14" t="s">
        <v>2219</v>
      </c>
      <c r="F81" s="14" t="s">
        <v>2087</v>
      </c>
      <c r="G81" s="14" t="s">
        <v>2220</v>
      </c>
    </row>
    <row r="82" customFormat="false" ht="14.5" hidden="false" customHeight="false" outlineLevel="0" collapsed="false">
      <c r="A82" s="14" t="s">
        <v>2218</v>
      </c>
      <c r="B82" s="14" t="n">
        <v>74</v>
      </c>
      <c r="C82" s="14" t="n">
        <v>3</v>
      </c>
      <c r="D82" s="14" t="n">
        <v>2</v>
      </c>
      <c r="E82" s="14" t="s">
        <v>2221</v>
      </c>
      <c r="F82" s="14" t="s">
        <v>2087</v>
      </c>
      <c r="G82" s="14" t="s">
        <v>2222</v>
      </c>
    </row>
    <row r="83" customFormat="false" ht="14.5" hidden="false" customHeight="false" outlineLevel="0" collapsed="false">
      <c r="A83" s="14" t="s">
        <v>1083</v>
      </c>
      <c r="B83" s="14" t="n">
        <v>78</v>
      </c>
      <c r="C83" s="14" t="n">
        <v>2</v>
      </c>
      <c r="D83" s="14" t="n">
        <v>1</v>
      </c>
      <c r="E83" s="14" t="s">
        <v>2223</v>
      </c>
      <c r="F83" s="14" t="s">
        <v>2087</v>
      </c>
      <c r="G83" s="14" t="s">
        <v>2224</v>
      </c>
    </row>
    <row r="84" customFormat="false" ht="14.5" hidden="false" customHeight="false" outlineLevel="0" collapsed="false">
      <c r="A84" s="14" t="s">
        <v>1083</v>
      </c>
      <c r="B84" s="14" t="n">
        <v>78</v>
      </c>
      <c r="C84" s="14" t="n">
        <v>2</v>
      </c>
      <c r="D84" s="14" t="n">
        <v>2</v>
      </c>
      <c r="E84" s="14" t="s">
        <v>2225</v>
      </c>
      <c r="F84" s="14" t="s">
        <v>2087</v>
      </c>
      <c r="G84" s="14" t="s">
        <v>2226</v>
      </c>
    </row>
    <row r="85" customFormat="false" ht="14.5" hidden="false" customHeight="false" outlineLevel="0" collapsed="false">
      <c r="A85" s="14" t="s">
        <v>1087</v>
      </c>
      <c r="B85" s="14" t="n">
        <v>78</v>
      </c>
      <c r="C85" s="14" t="n">
        <v>3</v>
      </c>
      <c r="D85" s="14" t="n">
        <v>1</v>
      </c>
      <c r="E85" s="14" t="s">
        <v>2227</v>
      </c>
      <c r="F85" s="14" t="s">
        <v>2087</v>
      </c>
      <c r="G85" s="14" t="s">
        <v>2228</v>
      </c>
    </row>
    <row r="86" customFormat="false" ht="14.5" hidden="false" customHeight="false" outlineLevel="0" collapsed="false">
      <c r="A86" s="14" t="s">
        <v>1087</v>
      </c>
      <c r="B86" s="14" t="n">
        <v>78</v>
      </c>
      <c r="C86" s="14" t="n">
        <v>3</v>
      </c>
      <c r="D86" s="14" t="n">
        <v>2</v>
      </c>
      <c r="E86" s="14" t="s">
        <v>2223</v>
      </c>
      <c r="F86" s="14" t="s">
        <v>2087</v>
      </c>
      <c r="G86" s="14" t="s">
        <v>2229</v>
      </c>
    </row>
    <row r="87" customFormat="false" ht="14.5" hidden="false" customHeight="false" outlineLevel="0" collapsed="false">
      <c r="A87" s="14" t="s">
        <v>1087</v>
      </c>
      <c r="B87" s="14" t="n">
        <v>78</v>
      </c>
      <c r="C87" s="14" t="n">
        <v>3</v>
      </c>
      <c r="D87" s="14" t="n">
        <v>3</v>
      </c>
      <c r="E87" s="14" t="s">
        <v>2230</v>
      </c>
      <c r="F87" s="14" t="s">
        <v>2087</v>
      </c>
      <c r="G87" s="14" t="s">
        <v>2231</v>
      </c>
    </row>
    <row r="88" customFormat="false" ht="14.5" hidden="false" customHeight="false" outlineLevel="0" collapsed="false">
      <c r="A88" s="14" t="s">
        <v>2232</v>
      </c>
      <c r="B88" s="14" t="n">
        <v>81</v>
      </c>
      <c r="C88" s="14" t="n">
        <v>3</v>
      </c>
      <c r="D88" s="14" t="n">
        <v>1</v>
      </c>
      <c r="E88" s="14" t="s">
        <v>2233</v>
      </c>
      <c r="F88" s="14" t="s">
        <v>2087</v>
      </c>
      <c r="G88" s="14" t="s">
        <v>2234</v>
      </c>
    </row>
    <row r="89" customFormat="false" ht="14.5" hidden="false" customHeight="false" outlineLevel="0" collapsed="false">
      <c r="A89" s="14" t="s">
        <v>2232</v>
      </c>
      <c r="B89" s="14" t="n">
        <v>81</v>
      </c>
      <c r="C89" s="14" t="n">
        <v>3</v>
      </c>
      <c r="D89" s="14" t="n">
        <v>1</v>
      </c>
      <c r="E89" s="14" t="s">
        <v>2235</v>
      </c>
      <c r="F89" s="14" t="s">
        <v>2087</v>
      </c>
      <c r="G89" s="14" t="s">
        <v>2236</v>
      </c>
    </row>
    <row r="90" customFormat="false" ht="14.5" hidden="false" customHeight="false" outlineLevel="0" collapsed="false">
      <c r="A90" s="14" t="s">
        <v>1091</v>
      </c>
      <c r="B90" s="14" t="n">
        <v>83</v>
      </c>
      <c r="C90" s="14" t="n">
        <v>1</v>
      </c>
      <c r="D90" s="14" t="n">
        <v>1</v>
      </c>
      <c r="E90" s="14" t="s">
        <v>2237</v>
      </c>
      <c r="F90" s="14" t="s">
        <v>2087</v>
      </c>
      <c r="G90" s="14" t="s">
        <v>2238</v>
      </c>
    </row>
    <row r="91" customFormat="false" ht="14.5" hidden="false" customHeight="false" outlineLevel="0" collapsed="false">
      <c r="A91" s="14" t="s">
        <v>1098</v>
      </c>
      <c r="B91" s="14" t="n">
        <v>83</v>
      </c>
      <c r="C91" s="14" t="n">
        <v>2</v>
      </c>
      <c r="D91" s="14" t="n">
        <v>1</v>
      </c>
      <c r="E91" s="14" t="s">
        <v>2239</v>
      </c>
      <c r="F91" s="14" t="s">
        <v>2087</v>
      </c>
      <c r="G91" s="14" t="s">
        <v>2240</v>
      </c>
    </row>
    <row r="92" customFormat="false" ht="14.5" hidden="false" customHeight="false" outlineLevel="0" collapsed="false">
      <c r="A92" s="14" t="s">
        <v>2241</v>
      </c>
      <c r="B92" s="14" t="n">
        <v>94</v>
      </c>
      <c r="C92" s="14" t="n">
        <v>3</v>
      </c>
      <c r="D92" s="14" t="n">
        <v>3</v>
      </c>
      <c r="E92" s="14" t="s">
        <v>2242</v>
      </c>
      <c r="F92" s="14" t="s">
        <v>2087</v>
      </c>
      <c r="G92" s="14" t="s">
        <v>2243</v>
      </c>
    </row>
    <row r="93" customFormat="false" ht="14.5" hidden="false" customHeight="false" outlineLevel="0" collapsed="false">
      <c r="A93" s="14" t="s">
        <v>2244</v>
      </c>
      <c r="B93" s="14" t="n">
        <v>103</v>
      </c>
      <c r="C93" s="14" t="n">
        <v>2</v>
      </c>
      <c r="D93" s="14" t="n">
        <v>1</v>
      </c>
      <c r="E93" s="14" t="s">
        <v>2245</v>
      </c>
      <c r="F93" s="14" t="s">
        <v>2087</v>
      </c>
      <c r="G93" s="14" t="s">
        <v>2246</v>
      </c>
    </row>
    <row r="94" customFormat="false" ht="14.5" hidden="false" customHeight="false" outlineLevel="0" collapsed="false">
      <c r="A94" s="14" t="s">
        <v>2247</v>
      </c>
      <c r="B94" s="14" t="n">
        <v>103</v>
      </c>
      <c r="C94" s="14" t="n">
        <v>1</v>
      </c>
      <c r="D94" s="14" t="n">
        <v>1</v>
      </c>
      <c r="E94" s="14" t="s">
        <v>2248</v>
      </c>
      <c r="F94" s="14" t="s">
        <v>2087</v>
      </c>
      <c r="G94" s="14" t="s">
        <v>2249</v>
      </c>
    </row>
    <row r="95" customFormat="false" ht="14.5" hidden="false" customHeight="false" outlineLevel="0" collapsed="false">
      <c r="A95" s="14" t="s">
        <v>2247</v>
      </c>
      <c r="B95" s="14" t="n">
        <v>103</v>
      </c>
      <c r="C95" s="14" t="n">
        <v>1</v>
      </c>
      <c r="D95" s="14" t="n">
        <v>2</v>
      </c>
      <c r="E95" s="14" t="s">
        <v>2250</v>
      </c>
      <c r="F95" s="14" t="s">
        <v>2118</v>
      </c>
      <c r="G95" s="14" t="s">
        <v>2251</v>
      </c>
    </row>
    <row r="96" customFormat="false" ht="14.5" hidden="false" customHeight="false" outlineLevel="0" collapsed="false">
      <c r="A96" s="14" t="s">
        <v>2247</v>
      </c>
      <c r="B96" s="14" t="n">
        <v>103</v>
      </c>
      <c r="C96" s="14" t="n">
        <v>1</v>
      </c>
      <c r="D96" s="14" t="n">
        <v>1</v>
      </c>
      <c r="E96" s="15" t="s">
        <v>2252</v>
      </c>
      <c r="F96" s="14" t="s">
        <v>2087</v>
      </c>
      <c r="G96" s="14" t="s">
        <v>2253</v>
      </c>
    </row>
    <row r="97" customFormat="false" ht="14.5" hidden="false" customHeight="false" outlineLevel="0" collapsed="false">
      <c r="A97" s="14" t="s">
        <v>2247</v>
      </c>
      <c r="B97" s="14" t="n">
        <v>103</v>
      </c>
      <c r="C97" s="14" t="n">
        <v>1</v>
      </c>
      <c r="D97" s="14" t="n">
        <v>1</v>
      </c>
      <c r="E97" s="14" t="s">
        <v>2254</v>
      </c>
      <c r="F97" s="14" t="s">
        <v>2087</v>
      </c>
      <c r="G97" s="14" t="s">
        <v>2255</v>
      </c>
    </row>
    <row r="98" customFormat="false" ht="14.5" hidden="false" customHeight="false" outlineLevel="0" collapsed="false">
      <c r="A98" s="14" t="s">
        <v>2256</v>
      </c>
      <c r="B98" s="14" t="n">
        <v>107</v>
      </c>
      <c r="C98" s="14" t="n">
        <v>1</v>
      </c>
      <c r="D98" s="14" t="n">
        <v>1</v>
      </c>
      <c r="E98" s="14" t="s">
        <v>2257</v>
      </c>
      <c r="F98" s="14" t="s">
        <v>2087</v>
      </c>
      <c r="G98" s="14" t="s">
        <v>2258</v>
      </c>
    </row>
    <row r="99" customFormat="false" ht="14.5" hidden="false" customHeight="false" outlineLevel="0" collapsed="false">
      <c r="A99" s="14" t="s">
        <v>2259</v>
      </c>
      <c r="B99" s="14" t="n">
        <v>107</v>
      </c>
      <c r="C99" s="14" t="n">
        <v>2</v>
      </c>
      <c r="D99" s="14" t="n">
        <v>1</v>
      </c>
      <c r="E99" s="14" t="s">
        <v>2257</v>
      </c>
      <c r="F99" s="14" t="s">
        <v>2087</v>
      </c>
      <c r="G99" s="14" t="s">
        <v>2260</v>
      </c>
    </row>
    <row r="100" customFormat="false" ht="14.5" hidden="false" customHeight="false" outlineLevel="0" collapsed="false">
      <c r="A100" s="14" t="s">
        <v>2259</v>
      </c>
      <c r="B100" s="14" t="n">
        <v>107</v>
      </c>
      <c r="C100" s="14" t="n">
        <v>2</v>
      </c>
      <c r="D100" s="14" t="n">
        <v>2</v>
      </c>
      <c r="E100" s="14" t="s">
        <v>2257</v>
      </c>
      <c r="F100" s="14" t="s">
        <v>2087</v>
      </c>
      <c r="G100" s="14" t="s">
        <v>2261</v>
      </c>
    </row>
    <row r="101" customFormat="false" ht="14.5" hidden="false" customHeight="false" outlineLevel="0" collapsed="false">
      <c r="A101" s="14" t="s">
        <v>2262</v>
      </c>
      <c r="B101" s="14" t="n">
        <v>107</v>
      </c>
      <c r="C101" s="14" t="n">
        <v>3</v>
      </c>
      <c r="D101" s="14" t="n">
        <v>1</v>
      </c>
      <c r="E101" s="14" t="s">
        <v>2263</v>
      </c>
      <c r="F101" s="14" t="s">
        <v>2087</v>
      </c>
      <c r="G101" s="14" t="s">
        <v>2264</v>
      </c>
    </row>
    <row r="102" customFormat="false" ht="14.5" hidden="false" customHeight="false" outlineLevel="0" collapsed="false">
      <c r="A102" s="14" t="s">
        <v>2262</v>
      </c>
      <c r="B102" s="14" t="n">
        <v>107</v>
      </c>
      <c r="C102" s="14" t="n">
        <v>3</v>
      </c>
      <c r="D102" s="14" t="n">
        <v>2</v>
      </c>
      <c r="E102" s="14" t="s">
        <v>2257</v>
      </c>
      <c r="F102" s="14" t="s">
        <v>2087</v>
      </c>
      <c r="G102" s="14" t="s">
        <v>2265</v>
      </c>
    </row>
    <row r="103" customFormat="false" ht="14.5" hidden="false" customHeight="false" outlineLevel="0" collapsed="false">
      <c r="A103" s="14" t="s">
        <v>2266</v>
      </c>
      <c r="B103" s="14" t="n">
        <v>123</v>
      </c>
      <c r="C103" s="14" t="n">
        <v>1</v>
      </c>
      <c r="D103" s="14" t="n">
        <v>1</v>
      </c>
      <c r="E103" s="14" t="s">
        <v>2267</v>
      </c>
      <c r="F103" s="14" t="s">
        <v>2087</v>
      </c>
      <c r="G103" s="14" t="s">
        <v>2268</v>
      </c>
    </row>
    <row r="104" customFormat="false" ht="14.5" hidden="false" customHeight="false" outlineLevel="0" collapsed="false">
      <c r="A104" s="14" t="s">
        <v>2266</v>
      </c>
      <c r="B104" s="14" t="n">
        <v>123</v>
      </c>
      <c r="C104" s="14" t="n">
        <v>1</v>
      </c>
      <c r="D104" s="14" t="n">
        <v>1</v>
      </c>
      <c r="E104" s="14" t="s">
        <v>2269</v>
      </c>
      <c r="F104" s="14" t="s">
        <v>2087</v>
      </c>
      <c r="G104" s="14" t="s">
        <v>2270</v>
      </c>
    </row>
    <row r="105" customFormat="false" ht="14.5" hidden="false" customHeight="false" outlineLevel="0" collapsed="false">
      <c r="A105" s="14" t="s">
        <v>2266</v>
      </c>
      <c r="B105" s="14" t="n">
        <v>123</v>
      </c>
      <c r="C105" s="14" t="n">
        <v>1</v>
      </c>
      <c r="D105" s="14" t="n">
        <v>2</v>
      </c>
      <c r="E105" s="14" t="s">
        <v>2271</v>
      </c>
      <c r="F105" s="14" t="s">
        <v>2087</v>
      </c>
      <c r="G105" s="14" t="s">
        <v>2272</v>
      </c>
    </row>
    <row r="106" customFormat="false" ht="14.5" hidden="false" customHeight="false" outlineLevel="0" collapsed="false">
      <c r="A106" s="14" t="s">
        <v>2273</v>
      </c>
      <c r="B106" s="14" t="n">
        <v>123</v>
      </c>
      <c r="C106" s="14" t="n">
        <v>3</v>
      </c>
      <c r="D106" s="14" t="n">
        <v>1</v>
      </c>
      <c r="E106" s="14" t="s">
        <v>2274</v>
      </c>
      <c r="F106" s="14" t="s">
        <v>2087</v>
      </c>
      <c r="G106" s="14" t="s">
        <v>2275</v>
      </c>
    </row>
    <row r="107" customFormat="false" ht="14.5" hidden="false" customHeight="false" outlineLevel="0" collapsed="false">
      <c r="A107" s="14" t="s">
        <v>2276</v>
      </c>
      <c r="B107" s="14" t="n">
        <v>143</v>
      </c>
      <c r="C107" s="14" t="n">
        <v>1</v>
      </c>
      <c r="D107" s="14" t="n">
        <v>1</v>
      </c>
      <c r="E107" s="14" t="s">
        <v>2277</v>
      </c>
      <c r="F107" s="14" t="s">
        <v>2087</v>
      </c>
      <c r="G107" s="14" t="s">
        <v>2278</v>
      </c>
    </row>
    <row r="108" customFormat="false" ht="14.5" hidden="false" customHeight="false" outlineLevel="0" collapsed="false">
      <c r="A108" s="14" t="s">
        <v>2276</v>
      </c>
      <c r="B108" s="14" t="n">
        <v>143</v>
      </c>
      <c r="C108" s="14" t="n">
        <v>1</v>
      </c>
      <c r="D108" s="14" t="n">
        <v>1</v>
      </c>
      <c r="E108" s="14" t="s">
        <v>2279</v>
      </c>
      <c r="F108" s="14" t="s">
        <v>2087</v>
      </c>
      <c r="G108" s="14" t="s">
        <v>2280</v>
      </c>
    </row>
    <row r="109" customFormat="false" ht="14.5" hidden="false" customHeight="false" outlineLevel="0" collapsed="false">
      <c r="A109" s="14" t="s">
        <v>2276</v>
      </c>
      <c r="B109" s="14" t="n">
        <v>143</v>
      </c>
      <c r="C109" s="14" t="n">
        <v>1</v>
      </c>
      <c r="D109" s="14" t="n">
        <v>2</v>
      </c>
      <c r="E109" s="14" t="s">
        <v>2281</v>
      </c>
      <c r="F109" s="14" t="s">
        <v>2087</v>
      </c>
      <c r="G109" s="14" t="s">
        <v>2282</v>
      </c>
    </row>
    <row r="110" customFormat="false" ht="14.5" hidden="false" customHeight="false" outlineLevel="0" collapsed="false">
      <c r="A110" s="14" t="s">
        <v>2283</v>
      </c>
      <c r="B110" s="14" t="n">
        <v>143</v>
      </c>
      <c r="C110" s="14" t="n">
        <v>2</v>
      </c>
      <c r="D110" s="14" t="n">
        <v>1</v>
      </c>
      <c r="E110" s="14" t="s">
        <v>1489</v>
      </c>
      <c r="F110" s="14" t="s">
        <v>2087</v>
      </c>
      <c r="G110" s="14" t="s">
        <v>2284</v>
      </c>
    </row>
    <row r="111" customFormat="false" ht="14.5" hidden="false" customHeight="false" outlineLevel="0" collapsed="false">
      <c r="A111" s="14" t="s">
        <v>2283</v>
      </c>
      <c r="B111" s="14" t="n">
        <v>143</v>
      </c>
      <c r="C111" s="14" t="n">
        <v>2</v>
      </c>
      <c r="D111" s="14" t="n">
        <v>2</v>
      </c>
      <c r="E111" s="14" t="s">
        <v>2279</v>
      </c>
      <c r="F111" s="14" t="s">
        <v>2087</v>
      </c>
      <c r="G111" s="14" t="s">
        <v>2285</v>
      </c>
    </row>
    <row r="112" customFormat="false" ht="14.5" hidden="false" customHeight="false" outlineLevel="0" collapsed="false">
      <c r="A112" s="14" t="s">
        <v>2283</v>
      </c>
      <c r="B112" s="14" t="n">
        <v>143</v>
      </c>
      <c r="C112" s="14" t="n">
        <v>2</v>
      </c>
      <c r="D112" s="14" t="n">
        <v>3</v>
      </c>
      <c r="E112" s="14" t="s">
        <v>2277</v>
      </c>
      <c r="F112" s="14" t="s">
        <v>2087</v>
      </c>
      <c r="G112" s="14" t="s">
        <v>2286</v>
      </c>
    </row>
    <row r="113" customFormat="false" ht="14.5" hidden="false" customHeight="false" outlineLevel="0" collapsed="false">
      <c r="A113" s="14" t="s">
        <v>2283</v>
      </c>
      <c r="B113" s="14" t="n">
        <v>143</v>
      </c>
      <c r="C113" s="14" t="n">
        <v>2</v>
      </c>
      <c r="D113" s="14" t="n">
        <v>4</v>
      </c>
      <c r="E113" s="14" t="s">
        <v>2281</v>
      </c>
      <c r="F113" s="14" t="s">
        <v>2087</v>
      </c>
      <c r="G113" s="14" t="s">
        <v>2287</v>
      </c>
    </row>
    <row r="114" customFormat="false" ht="14.5" hidden="false" customHeight="false" outlineLevel="0" collapsed="false">
      <c r="A114" s="14" t="s">
        <v>2288</v>
      </c>
      <c r="B114" s="14" t="n">
        <v>143</v>
      </c>
      <c r="C114" s="14" t="n">
        <v>3</v>
      </c>
      <c r="D114" s="14" t="n">
        <v>1</v>
      </c>
      <c r="E114" s="14" t="s">
        <v>2289</v>
      </c>
      <c r="F114" s="14" t="s">
        <v>2087</v>
      </c>
      <c r="G114" s="14" t="s">
        <v>2290</v>
      </c>
    </row>
    <row r="115" customFormat="false" ht="14.5" hidden="false" customHeight="false" outlineLevel="0" collapsed="false">
      <c r="A115" s="14" t="s">
        <v>2291</v>
      </c>
      <c r="B115" s="14" t="n">
        <v>192</v>
      </c>
      <c r="C115" s="14" t="n">
        <v>1</v>
      </c>
      <c r="D115" s="14" t="n">
        <v>1</v>
      </c>
      <c r="E115" s="14" t="s">
        <v>2292</v>
      </c>
      <c r="F115" s="14" t="s">
        <v>2087</v>
      </c>
      <c r="G115" s="14" t="s">
        <v>2293</v>
      </c>
    </row>
    <row r="116" customFormat="false" ht="14.5" hidden="false" customHeight="false" outlineLevel="0" collapsed="false">
      <c r="A116" s="14" t="s">
        <v>2294</v>
      </c>
      <c r="B116" s="14" t="n">
        <v>192</v>
      </c>
      <c r="C116" s="14" t="n">
        <v>2</v>
      </c>
      <c r="D116" s="14" t="n">
        <v>1</v>
      </c>
      <c r="E116" s="14" t="s">
        <v>2295</v>
      </c>
      <c r="F116" s="14" t="s">
        <v>2087</v>
      </c>
      <c r="G116" s="14" t="s">
        <v>2296</v>
      </c>
    </row>
    <row r="117" customFormat="false" ht="14.5" hidden="false" customHeight="false" outlineLevel="0" collapsed="false">
      <c r="A117" s="14" t="s">
        <v>2294</v>
      </c>
      <c r="B117" s="14" t="n">
        <v>192</v>
      </c>
      <c r="C117" s="14" t="n">
        <v>2</v>
      </c>
      <c r="D117" s="14" t="n">
        <v>2</v>
      </c>
      <c r="E117" s="14" t="s">
        <v>2297</v>
      </c>
      <c r="F117" s="14" t="s">
        <v>2087</v>
      </c>
      <c r="G117" s="14" t="s">
        <v>2298</v>
      </c>
    </row>
    <row r="118" customFormat="false" ht="14.5" hidden="false" customHeight="false" outlineLevel="0" collapsed="false">
      <c r="A118" s="14" t="s">
        <v>2299</v>
      </c>
      <c r="B118" s="14" t="n">
        <v>192</v>
      </c>
      <c r="C118" s="14" t="n">
        <v>3</v>
      </c>
      <c r="D118" s="14" t="n">
        <v>1</v>
      </c>
      <c r="E118" s="14" t="s">
        <v>2295</v>
      </c>
      <c r="F118" s="14" t="s">
        <v>2087</v>
      </c>
      <c r="G118" s="14" t="s">
        <v>2300</v>
      </c>
    </row>
    <row r="119" customFormat="false" ht="14.5" hidden="false" customHeight="false" outlineLevel="0" collapsed="false">
      <c r="A119" s="14" t="s">
        <v>2299</v>
      </c>
      <c r="B119" s="14" t="n">
        <v>192</v>
      </c>
      <c r="C119" s="14" t="n">
        <v>3</v>
      </c>
      <c r="D119" s="14" t="n">
        <v>2</v>
      </c>
      <c r="E119" s="14" t="s">
        <v>2297</v>
      </c>
      <c r="F119" s="14" t="s">
        <v>2087</v>
      </c>
      <c r="G119" s="14" t="s">
        <v>2301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79"/>
  <sheetViews>
    <sheetView showFormulas="false" showGridLines="true" showRowColHeaders="true" showZeros="true" rightToLeft="false" tabSelected="false" showOutlineSymbols="true" defaultGridColor="true" view="normal" topLeftCell="A55" colorId="64" zoomScale="100" zoomScaleNormal="100" zoomScalePageLayoutView="100" workbookViewId="0">
      <selection pane="topLeft" activeCell="H66" activeCellId="1" sqref="G14:I22 H66"/>
    </sheetView>
  </sheetViews>
  <sheetFormatPr defaultColWidth="8.4296875" defaultRowHeight="14.5" zeroHeight="false" outlineLevelRow="0" outlineLevelCol="0"/>
  <cols>
    <col collapsed="false" customWidth="true" hidden="false" outlineLevel="0" max="1" min="1" style="0" width="5"/>
    <col collapsed="false" customWidth="true" hidden="false" outlineLevel="0" max="2" min="2" style="0" width="6.54"/>
    <col collapsed="false" customWidth="true" hidden="false" outlineLevel="0" max="3" min="3" style="0" width="11.17"/>
    <col collapsed="false" customWidth="true" hidden="false" outlineLevel="0" max="4" min="4" style="0" width="6.27"/>
    <col collapsed="false" customWidth="true" hidden="false" outlineLevel="0" max="5" min="5" style="0" width="21.45"/>
    <col collapsed="false" customWidth="true" hidden="false" outlineLevel="0" max="6" min="6" style="0" width="14.72"/>
    <col collapsed="false" customWidth="true" hidden="false" outlineLevel="0" max="7" min="7" style="0" width="26"/>
    <col collapsed="false" customWidth="true" hidden="false" outlineLevel="0" max="9" min="8" style="0" width="21.82"/>
    <col collapsed="false" customWidth="true" hidden="false" outlineLevel="0" max="10" min="10" style="0" width="17.82"/>
  </cols>
  <sheetData>
    <row r="1" customFormat="false" ht="14.5" hidden="false" customHeight="false" outlineLevel="0" collapsed="false">
      <c r="A1" s="12" t="s">
        <v>21</v>
      </c>
      <c r="B1" s="12" t="s">
        <v>2084</v>
      </c>
      <c r="C1" s="12" t="s">
        <v>1118</v>
      </c>
      <c r="D1" s="12" t="s">
        <v>1163</v>
      </c>
      <c r="E1" s="12" t="s">
        <v>2085</v>
      </c>
      <c r="F1" s="12" t="s">
        <v>1993</v>
      </c>
      <c r="G1" s="12" t="s">
        <v>1165</v>
      </c>
      <c r="H1" s="12" t="s">
        <v>1166</v>
      </c>
      <c r="I1" s="12" t="s">
        <v>2302</v>
      </c>
      <c r="J1" s="12" t="s">
        <v>1168</v>
      </c>
    </row>
    <row r="2" customFormat="false" ht="14.5" hidden="false" customHeight="false" outlineLevel="0" collapsed="false">
      <c r="A2" s="14" t="n">
        <v>5</v>
      </c>
      <c r="B2" s="14" t="n">
        <v>1</v>
      </c>
      <c r="C2" s="14" t="n">
        <f aca="false">COUNTIFS(c35raw!B:B, Table514[[#This Row],[ID]], c35raw!E:E, Table514[[#This Row],[function]],  c35raw!F:F, Table514[[#This Row],[bug type]])</f>
        <v>3</v>
      </c>
      <c r="D2" s="14" t="n">
        <v>1</v>
      </c>
      <c r="E2" s="14" t="s">
        <v>2086</v>
      </c>
      <c r="F2" s="14"/>
      <c r="G2" s="14" t="s">
        <v>2087</v>
      </c>
      <c r="H2" s="14" t="s">
        <v>2303</v>
      </c>
      <c r="I2" s="7" t="s">
        <v>2304</v>
      </c>
      <c r="J2" s="14" t="s">
        <v>2088</v>
      </c>
    </row>
    <row r="3" customFormat="false" ht="14.5" hidden="false" customHeight="false" outlineLevel="0" collapsed="false">
      <c r="A3" s="14" t="n">
        <v>5</v>
      </c>
      <c r="B3" s="14" t="n">
        <v>1</v>
      </c>
      <c r="C3" s="14" t="n">
        <f aca="false">COUNTIFS(c35raw!B:B, Table514[[#This Row],[ID]], c35raw!E:E, Table514[[#This Row],[function]],  c35raw!F:F, Table514[[#This Row],[bug type]])</f>
        <v>3</v>
      </c>
      <c r="D3" s="14" t="n">
        <v>1</v>
      </c>
      <c r="E3" s="14" t="s">
        <v>1259</v>
      </c>
      <c r="F3" s="14"/>
      <c r="G3" s="14" t="s">
        <v>2087</v>
      </c>
      <c r="H3" s="14" t="s">
        <v>2305</v>
      </c>
      <c r="I3" s="7" t="s">
        <v>2306</v>
      </c>
      <c r="J3" s="14" t="s">
        <v>2089</v>
      </c>
    </row>
    <row r="4" customFormat="false" ht="14.5" hidden="false" customHeight="false" outlineLevel="0" collapsed="false">
      <c r="A4" s="14" t="n">
        <v>5</v>
      </c>
      <c r="B4" s="14" t="n">
        <v>1</v>
      </c>
      <c r="C4" s="14" t="n">
        <f aca="false">COUNTIFS(c35raw!B:B, Table514[[#This Row],[ID]], c35raw!E:E, Table514[[#This Row],[function]],  c35raw!F:F, Table514[[#This Row],[bug type]])</f>
        <v>3</v>
      </c>
      <c r="D4" s="14" t="n">
        <v>2</v>
      </c>
      <c r="E4" s="14" t="s">
        <v>1240</v>
      </c>
      <c r="F4" s="14"/>
      <c r="G4" s="14" t="s">
        <v>2087</v>
      </c>
      <c r="H4" s="14" t="s">
        <v>2307</v>
      </c>
      <c r="I4" s="7" t="s">
        <v>2308</v>
      </c>
      <c r="J4" s="14" t="s">
        <v>2090</v>
      </c>
    </row>
    <row r="5" customFormat="false" ht="14.5" hidden="false" customHeight="false" outlineLevel="0" collapsed="false">
      <c r="A5" s="14" t="n">
        <v>13</v>
      </c>
      <c r="B5" s="14" t="n">
        <v>2</v>
      </c>
      <c r="C5" s="14" t="n">
        <f aca="false">COUNTIFS(c35raw!B:B, Table514[[#This Row],[ID]], c35raw!E:E, Table514[[#This Row],[function]],  c35raw!F:F, Table514[[#This Row],[bug type]])</f>
        <v>1</v>
      </c>
      <c r="D5" s="14" t="n">
        <v>1</v>
      </c>
      <c r="E5" s="14" t="s">
        <v>2098</v>
      </c>
      <c r="F5" s="1" t="s">
        <v>145</v>
      </c>
      <c r="G5" s="14" t="s">
        <v>2087</v>
      </c>
      <c r="H5" s="14" t="s">
        <v>2309</v>
      </c>
      <c r="I5" s="14"/>
      <c r="J5" s="14" t="s">
        <v>2099</v>
      </c>
    </row>
    <row r="6" customFormat="false" ht="14.5" hidden="false" customHeight="false" outlineLevel="0" collapsed="false">
      <c r="A6" s="14" t="n">
        <v>13</v>
      </c>
      <c r="B6" s="14" t="n">
        <v>2</v>
      </c>
      <c r="C6" s="14" t="n">
        <f aca="false">COUNTIFS(c35raw!B:B, Table514[[#This Row],[ID]], c35raw!E:E, Table514[[#This Row],[function]],  c35raw!F:F, Table514[[#This Row],[bug type]])</f>
        <v>1</v>
      </c>
      <c r="D6" s="14" t="n">
        <v>2</v>
      </c>
      <c r="E6" s="14" t="s">
        <v>2100</v>
      </c>
      <c r="F6" s="1" t="s">
        <v>145</v>
      </c>
      <c r="G6" s="14" t="s">
        <v>2087</v>
      </c>
      <c r="H6" s="14" t="s">
        <v>2005</v>
      </c>
      <c r="I6" s="14"/>
      <c r="J6" s="14" t="s">
        <v>2101</v>
      </c>
    </row>
    <row r="7" customFormat="false" ht="14.5" hidden="false" customHeight="false" outlineLevel="0" collapsed="false">
      <c r="A7" s="14" t="n">
        <v>13</v>
      </c>
      <c r="B7" s="14" t="n">
        <v>2</v>
      </c>
      <c r="C7" s="14" t="n">
        <f aca="false">COUNTIFS(c35raw!B:B, Table514[[#This Row],[ID]], c35raw!E:E, Table514[[#This Row],[function]],  c35raw!F:F, Table514[[#This Row],[bug type]])</f>
        <v>1</v>
      </c>
      <c r="D7" s="14" t="n">
        <v>3</v>
      </c>
      <c r="E7" s="14" t="s">
        <v>2102</v>
      </c>
      <c r="F7" s="1" t="s">
        <v>145</v>
      </c>
      <c r="G7" s="14" t="s">
        <v>2087</v>
      </c>
      <c r="H7" s="14" t="s">
        <v>2310</v>
      </c>
      <c r="I7" s="14"/>
      <c r="J7" s="14" t="s">
        <v>2103</v>
      </c>
    </row>
    <row r="8" customFormat="false" ht="14.5" hidden="false" customHeight="false" outlineLevel="0" collapsed="false">
      <c r="A8" s="14" t="n">
        <v>13</v>
      </c>
      <c r="B8" s="14" t="n">
        <v>3</v>
      </c>
      <c r="C8" s="14" t="n">
        <f aca="false">COUNTIFS(c35raw!B:B, Table514[[#This Row],[ID]], c35raw!E:E, Table514[[#This Row],[function]],  c35raw!F:F, Table514[[#This Row],[bug type]])</f>
        <v>1</v>
      </c>
      <c r="D8" s="14" t="n">
        <v>1</v>
      </c>
      <c r="E8" s="14" t="s">
        <v>2104</v>
      </c>
      <c r="F8" s="1" t="s">
        <v>145</v>
      </c>
      <c r="G8" s="14" t="s">
        <v>2087</v>
      </c>
      <c r="H8" s="14" t="s">
        <v>2033</v>
      </c>
      <c r="I8" s="14"/>
      <c r="J8" s="14" t="s">
        <v>2105</v>
      </c>
    </row>
    <row r="9" customFormat="false" ht="14.5" hidden="false" customHeight="false" outlineLevel="0" collapsed="false">
      <c r="A9" s="14" t="n">
        <v>13</v>
      </c>
      <c r="B9" s="14" t="n">
        <v>3</v>
      </c>
      <c r="C9" s="14" t="n">
        <f aca="false">COUNTIFS(c35raw!B:B, Table514[[#This Row],[ID]], c35raw!E:E, Table514[[#This Row],[function]],  c35raw!F:F, Table514[[#This Row],[bug type]])</f>
        <v>1</v>
      </c>
      <c r="D9" s="14" t="n">
        <v>2</v>
      </c>
      <c r="E9" s="14" t="s">
        <v>2106</v>
      </c>
      <c r="F9" s="1" t="s">
        <v>145</v>
      </c>
      <c r="G9" s="14" t="s">
        <v>2087</v>
      </c>
      <c r="H9" s="14" t="s">
        <v>2033</v>
      </c>
      <c r="I9" s="14"/>
      <c r="J9" s="14" t="s">
        <v>2107</v>
      </c>
    </row>
    <row r="10" customFormat="false" ht="14.5" hidden="false" customHeight="false" outlineLevel="0" collapsed="false">
      <c r="A10" s="14" t="n">
        <v>13</v>
      </c>
      <c r="B10" s="14" t="n">
        <v>3</v>
      </c>
      <c r="C10" s="14" t="n">
        <f aca="false">COUNTIFS(c35raw!B:B, Table514[[#This Row],[ID]], c35raw!E:E, Table514[[#This Row],[function]],  c35raw!F:F, Table514[[#This Row],[bug type]])</f>
        <v>1</v>
      </c>
      <c r="D10" s="14" t="n">
        <v>3</v>
      </c>
      <c r="E10" s="14" t="s">
        <v>2108</v>
      </c>
      <c r="F10" s="1" t="s">
        <v>145</v>
      </c>
      <c r="G10" s="14" t="s">
        <v>2087</v>
      </c>
      <c r="H10" s="14" t="s">
        <v>2033</v>
      </c>
      <c r="I10" s="14"/>
      <c r="J10" s="14" t="s">
        <v>2109</v>
      </c>
    </row>
    <row r="11" customFormat="false" ht="14.5" hidden="false" customHeight="false" outlineLevel="0" collapsed="false">
      <c r="A11" s="14" t="n">
        <v>13</v>
      </c>
      <c r="B11" s="14" t="n">
        <v>3</v>
      </c>
      <c r="C11" s="14" t="n">
        <f aca="false">COUNTIFS(c35raw!B:B, Table514[[#This Row],[ID]], c35raw!E:E, Table514[[#This Row],[function]],  c35raw!F:F, Table514[[#This Row],[bug type]])</f>
        <v>1</v>
      </c>
      <c r="D11" s="14" t="n">
        <v>4</v>
      </c>
      <c r="E11" s="14" t="s">
        <v>2110</v>
      </c>
      <c r="F11" s="1" t="s">
        <v>145</v>
      </c>
      <c r="G11" s="14" t="s">
        <v>2087</v>
      </c>
      <c r="H11" s="14" t="s">
        <v>2033</v>
      </c>
      <c r="I11" s="14"/>
      <c r="J11" s="14" t="s">
        <v>2111</v>
      </c>
    </row>
    <row r="12" customFormat="false" ht="14.5" hidden="false" customHeight="false" outlineLevel="0" collapsed="false">
      <c r="A12" s="14" t="n">
        <v>13</v>
      </c>
      <c r="B12" s="14" t="n">
        <v>3</v>
      </c>
      <c r="C12" s="14" t="n">
        <f aca="false">COUNTIFS(c35raw!B:B, Table514[[#This Row],[ID]], c35raw!E:E, Table514[[#This Row],[function]],  c35raw!F:F, Table514[[#This Row],[bug type]])</f>
        <v>1</v>
      </c>
      <c r="D12" s="14" t="n">
        <v>5</v>
      </c>
      <c r="E12" s="14" t="s">
        <v>2112</v>
      </c>
      <c r="F12" s="1" t="s">
        <v>145</v>
      </c>
      <c r="G12" s="14" t="s">
        <v>2087</v>
      </c>
      <c r="H12" s="14" t="s">
        <v>2033</v>
      </c>
      <c r="I12" s="14"/>
      <c r="J12" s="14" t="s">
        <v>2113</v>
      </c>
    </row>
    <row r="13" customFormat="false" ht="14.5" hidden="false" customHeight="false" outlineLevel="0" collapsed="false">
      <c r="A13" s="14" t="n">
        <v>17</v>
      </c>
      <c r="B13" s="14" t="n">
        <v>1</v>
      </c>
      <c r="C13" s="14" t="n">
        <f aca="false">COUNTIFS(c35raw!B:B, Table514[[#This Row],[ID]], c35raw!E:E, Table514[[#This Row],[function]],  c35raw!F:F, Table514[[#This Row],[bug type]])</f>
        <v>1</v>
      </c>
      <c r="D13" s="14" t="n">
        <v>1</v>
      </c>
      <c r="E13" s="14" t="s">
        <v>2115</v>
      </c>
      <c r="F13" s="21" t="s">
        <v>176</v>
      </c>
      <c r="G13" s="14" t="s">
        <v>2087</v>
      </c>
      <c r="H13" s="14" t="s">
        <v>2033</v>
      </c>
      <c r="I13" s="14"/>
      <c r="J13" s="14" t="s">
        <v>2116</v>
      </c>
    </row>
    <row r="14" customFormat="false" ht="14.5" hidden="false" customHeight="false" outlineLevel="0" collapsed="false">
      <c r="A14" s="14" t="n">
        <v>17</v>
      </c>
      <c r="B14" s="14" t="n">
        <v>3</v>
      </c>
      <c r="C14" s="14" t="n">
        <f aca="false">COUNTIFS(c35raw!B:B, Table514[[#This Row],[ID]], c35raw!E:E, Table514[[#This Row],[function]],  c35raw!F:F, Table514[[#This Row],[bug type]])</f>
        <v>1</v>
      </c>
      <c r="D14" s="14" t="n">
        <v>1</v>
      </c>
      <c r="E14" s="14" t="s">
        <v>2117</v>
      </c>
      <c r="F14" s="21" t="s">
        <v>176</v>
      </c>
      <c r="G14" s="14" t="s">
        <v>2118</v>
      </c>
      <c r="H14" s="14" t="s">
        <v>2311</v>
      </c>
      <c r="I14" s="7" t="s">
        <v>2312</v>
      </c>
      <c r="J14" s="14" t="s">
        <v>2119</v>
      </c>
    </row>
    <row r="15" customFormat="false" ht="14.5" hidden="false" customHeight="false" outlineLevel="0" collapsed="false">
      <c r="A15" s="14" t="n">
        <v>17</v>
      </c>
      <c r="B15" s="14" t="n">
        <v>3</v>
      </c>
      <c r="C15" s="14" t="n">
        <f aca="false">COUNTIFS(c35raw!B:B, Table514[[#This Row],[ID]], c35raw!E:E, Table514[[#This Row],[function]],  c35raw!F:F, Table514[[#This Row],[bug type]])</f>
        <v>1</v>
      </c>
      <c r="D15" s="14" t="n">
        <v>2</v>
      </c>
      <c r="E15" s="14" t="s">
        <v>2120</v>
      </c>
      <c r="F15" s="21" t="s">
        <v>176</v>
      </c>
      <c r="G15" s="14" t="s">
        <v>2087</v>
      </c>
      <c r="H15" s="14" t="s">
        <v>2033</v>
      </c>
      <c r="I15" s="14"/>
      <c r="J15" s="14" t="s">
        <v>2121</v>
      </c>
    </row>
    <row r="16" customFormat="false" ht="14.5" hidden="false" customHeight="false" outlineLevel="0" collapsed="false">
      <c r="A16" s="14" t="n">
        <v>19</v>
      </c>
      <c r="B16" s="14" t="n">
        <v>1</v>
      </c>
      <c r="C16" s="14" t="n">
        <f aca="false">COUNTIFS(c35raw!B:B, Table514[[#This Row],[ID]], c35raw!E:E, Table514[[#This Row],[function]],  c35raw!F:F, Table514[[#This Row],[bug type]])</f>
        <v>4</v>
      </c>
      <c r="D16" s="14" t="n">
        <v>1</v>
      </c>
      <c r="E16" s="14" t="s">
        <v>1957</v>
      </c>
      <c r="F16" s="14" t="s">
        <v>188</v>
      </c>
      <c r="G16" s="14" t="s">
        <v>2087</v>
      </c>
      <c r="H16" s="14" t="s">
        <v>2033</v>
      </c>
      <c r="I16" s="14"/>
      <c r="J16" s="14" t="s">
        <v>2123</v>
      </c>
    </row>
    <row r="17" customFormat="false" ht="14.5" hidden="false" customHeight="false" outlineLevel="0" collapsed="false">
      <c r="A17" s="14" t="n">
        <v>19</v>
      </c>
      <c r="B17" s="14" t="n">
        <v>1</v>
      </c>
      <c r="C17" s="14" t="n">
        <f aca="false">COUNTIFS(c35raw!B:B, Table514[[#This Row],[ID]], c35raw!E:E, Table514[[#This Row],[function]],  c35raw!F:F, Table514[[#This Row],[bug type]])</f>
        <v>1</v>
      </c>
      <c r="D17" s="14" t="n">
        <v>3</v>
      </c>
      <c r="E17" s="14" t="s">
        <v>2125</v>
      </c>
      <c r="F17" s="14" t="s">
        <v>188</v>
      </c>
      <c r="G17" s="14" t="s">
        <v>2087</v>
      </c>
      <c r="H17" s="14" t="s">
        <v>2313</v>
      </c>
      <c r="I17" s="14"/>
      <c r="J17" s="14" t="s">
        <v>2126</v>
      </c>
    </row>
    <row r="18" customFormat="false" ht="14.5" hidden="false" customHeight="false" outlineLevel="0" collapsed="false">
      <c r="A18" s="14" t="n">
        <v>20</v>
      </c>
      <c r="B18" s="14" t="n">
        <v>1</v>
      </c>
      <c r="C18" s="14" t="n">
        <f aca="false">COUNTIFS(c35raw!B:B, Table514[[#This Row],[ID]], c35raw!E:E, Table514[[#This Row],[function]],  c35raw!F:F, Table514[[#This Row],[bug type]])</f>
        <v>2</v>
      </c>
      <c r="D18" s="14" t="n">
        <v>1</v>
      </c>
      <c r="E18" s="14" t="s">
        <v>1231</v>
      </c>
      <c r="F18" s="35" t="s">
        <v>2314</v>
      </c>
      <c r="G18" s="14" t="s">
        <v>2087</v>
      </c>
      <c r="H18" s="14" t="s">
        <v>2315</v>
      </c>
      <c r="I18" s="7" t="s">
        <v>2316</v>
      </c>
      <c r="J18" s="14" t="s">
        <v>2130</v>
      </c>
    </row>
    <row r="19" customFormat="false" ht="14.5" hidden="false" customHeight="false" outlineLevel="0" collapsed="false">
      <c r="A19" s="14" t="n">
        <v>20</v>
      </c>
      <c r="B19" s="14" t="n">
        <v>1</v>
      </c>
      <c r="C19" s="14" t="n">
        <f aca="false">COUNTIFS(c35raw!B:B, Table514[[#This Row],[ID]], c35raw!E:E, Table514[[#This Row],[function]],  c35raw!F:F, Table514[[#This Row],[bug type]])</f>
        <v>1</v>
      </c>
      <c r="D19" s="14" t="n">
        <v>1</v>
      </c>
      <c r="E19" s="14" t="s">
        <v>2131</v>
      </c>
      <c r="F19" s="14" t="s">
        <v>2314</v>
      </c>
      <c r="G19" s="14" t="s">
        <v>2087</v>
      </c>
      <c r="H19" s="14" t="s">
        <v>2317</v>
      </c>
      <c r="I19" s="14"/>
      <c r="J19" s="14" t="s">
        <v>2132</v>
      </c>
    </row>
    <row r="20" customFormat="false" ht="14.5" hidden="false" customHeight="false" outlineLevel="0" collapsed="false">
      <c r="A20" s="14" t="n">
        <v>20</v>
      </c>
      <c r="B20" s="14" t="n">
        <v>1</v>
      </c>
      <c r="C20" s="14" t="n">
        <f aca="false">COUNTIFS(c35raw!B:B, Table514[[#This Row],[ID]], c35raw!E:E, Table514[[#This Row],[function]],  c35raw!F:F, Table514[[#This Row],[bug type]])</f>
        <v>1</v>
      </c>
      <c r="D20" s="14" t="n">
        <v>2</v>
      </c>
      <c r="E20" s="14" t="s">
        <v>2133</v>
      </c>
      <c r="F20" s="35" t="s">
        <v>2314</v>
      </c>
      <c r="G20" s="14" t="s">
        <v>2087</v>
      </c>
      <c r="H20" s="14" t="s">
        <v>2318</v>
      </c>
      <c r="I20" s="14"/>
      <c r="J20" s="14" t="s">
        <v>2134</v>
      </c>
    </row>
    <row r="21" customFormat="false" ht="14.5" hidden="false" customHeight="false" outlineLevel="0" collapsed="false">
      <c r="A21" s="14" t="n">
        <v>20</v>
      </c>
      <c r="B21" s="14" t="n">
        <v>1</v>
      </c>
      <c r="C21" s="14" t="n">
        <f aca="false">COUNTIFS(c35raw!B:B, Table514[[#This Row],[ID]], c35raw!E:E, Table514[[#This Row],[function]],  c35raw!F:F, Table514[[#This Row],[bug type]])</f>
        <v>1</v>
      </c>
      <c r="D21" s="14" t="n">
        <v>1</v>
      </c>
      <c r="E21" s="14" t="s">
        <v>928</v>
      </c>
      <c r="F21" s="15" t="s">
        <v>200</v>
      </c>
      <c r="G21" s="14" t="s">
        <v>2087</v>
      </c>
      <c r="H21" s="14" t="s">
        <v>2033</v>
      </c>
      <c r="I21" s="14"/>
      <c r="J21" s="14" t="s">
        <v>2135</v>
      </c>
    </row>
    <row r="22" customFormat="false" ht="14.5" hidden="false" customHeight="false" outlineLevel="0" collapsed="false">
      <c r="A22" s="14" t="n">
        <v>20</v>
      </c>
      <c r="B22" s="14" t="n">
        <v>1</v>
      </c>
      <c r="C22" s="14" t="n">
        <f aca="false">COUNTIFS(c35raw!B:B, Table514[[#This Row],[ID]], c35raw!E:E, Table514[[#This Row],[function]],  c35raw!F:F, Table514[[#This Row],[bug type]])</f>
        <v>2</v>
      </c>
      <c r="D22" s="14" t="n">
        <v>1</v>
      </c>
      <c r="E22" s="14" t="s">
        <v>2136</v>
      </c>
      <c r="F22" s="15" t="s">
        <v>200</v>
      </c>
      <c r="G22" s="14" t="s">
        <v>2087</v>
      </c>
      <c r="H22" s="14" t="s">
        <v>2319</v>
      </c>
      <c r="I22" s="14"/>
      <c r="J22" s="14" t="s">
        <v>2137</v>
      </c>
    </row>
    <row r="23" customFormat="false" ht="14.5" hidden="false" customHeight="false" outlineLevel="0" collapsed="false">
      <c r="A23" s="14" t="n">
        <v>20</v>
      </c>
      <c r="B23" s="14" t="n">
        <v>1</v>
      </c>
      <c r="C23" s="14" t="n">
        <f aca="false">COUNTIFS(c35raw!B:B, Table514[[#This Row],[ID]], c35raw!E:E, Table514[[#This Row],[function]],  c35raw!F:F, Table514[[#This Row],[bug type]])</f>
        <v>2</v>
      </c>
      <c r="D23" s="14" t="n">
        <v>2</v>
      </c>
      <c r="E23" s="14" t="s">
        <v>2138</v>
      </c>
      <c r="F23" s="15" t="s">
        <v>200</v>
      </c>
      <c r="G23" s="14" t="s">
        <v>2087</v>
      </c>
      <c r="H23" s="14" t="s">
        <v>2319</v>
      </c>
      <c r="I23" s="14"/>
      <c r="J23" s="14" t="s">
        <v>2139</v>
      </c>
    </row>
    <row r="24" customFormat="false" ht="14.5" hidden="false" customHeight="false" outlineLevel="0" collapsed="false">
      <c r="A24" s="14" t="n">
        <v>20</v>
      </c>
      <c r="B24" s="14" t="n">
        <v>2</v>
      </c>
      <c r="C24" s="14" t="n">
        <f aca="false">COUNTIFS(c35raw!B:B, Table514[[#This Row],[ID]], c35raw!E:E, Table514[[#This Row],[function]],  c35raw!F:F, Table514[[#This Row],[bug type]])</f>
        <v>1</v>
      </c>
      <c r="D24" s="14" t="n">
        <v>1</v>
      </c>
      <c r="E24" s="14" t="s">
        <v>936</v>
      </c>
      <c r="F24" s="35" t="s">
        <v>2314</v>
      </c>
      <c r="G24" s="14" t="s">
        <v>2087</v>
      </c>
      <c r="H24" s="14" t="s">
        <v>2033</v>
      </c>
      <c r="I24" s="14"/>
      <c r="J24" s="14" t="s">
        <v>2140</v>
      </c>
    </row>
    <row r="25" customFormat="false" ht="14.5" hidden="false" customHeight="false" outlineLevel="0" collapsed="false">
      <c r="A25" s="14" t="n">
        <v>20</v>
      </c>
      <c r="B25" s="14" t="n">
        <v>3</v>
      </c>
      <c r="C25" s="14" t="n">
        <f aca="false">COUNTIFS(c35raw!B:B, Table514[[#This Row],[ID]], c35raw!E:E, Table514[[#This Row],[function]],  c35raw!F:F, Table514[[#This Row],[bug type]])</f>
        <v>1</v>
      </c>
      <c r="D25" s="14" t="n">
        <v>2</v>
      </c>
      <c r="E25" s="14" t="s">
        <v>1561</v>
      </c>
      <c r="F25" s="14" t="s">
        <v>2314</v>
      </c>
      <c r="G25" s="14" t="s">
        <v>2087</v>
      </c>
      <c r="H25" s="14" t="s">
        <v>2033</v>
      </c>
      <c r="I25" s="14"/>
      <c r="J25" s="14" t="s">
        <v>2144</v>
      </c>
    </row>
    <row r="26" customFormat="false" ht="14.5" hidden="false" customHeight="false" outlineLevel="0" collapsed="false">
      <c r="A26" s="14" t="n">
        <v>23</v>
      </c>
      <c r="B26" s="14" t="n">
        <v>1</v>
      </c>
      <c r="C26" s="14" t="n">
        <f aca="false">COUNTIFS(c35raw!B:B, Table514[[#This Row],[ID]], c35raw!E:E, Table514[[#This Row],[function]],  c35raw!F:F, Table514[[#This Row],[bug type]])</f>
        <v>3</v>
      </c>
      <c r="D26" s="14" t="n">
        <v>1</v>
      </c>
      <c r="E26" s="14" t="s">
        <v>2145</v>
      </c>
      <c r="F26" s="14" t="s">
        <v>234</v>
      </c>
      <c r="G26" s="14" t="s">
        <v>2087</v>
      </c>
      <c r="H26" s="14" t="s">
        <v>2033</v>
      </c>
      <c r="I26" s="14"/>
      <c r="J26" s="14" t="s">
        <v>2146</v>
      </c>
    </row>
    <row r="27" customFormat="false" ht="14.5" hidden="false" customHeight="false" outlineLevel="0" collapsed="false">
      <c r="A27" s="14" t="n">
        <v>23</v>
      </c>
      <c r="B27" s="14" t="n">
        <v>1</v>
      </c>
      <c r="C27" s="14" t="n">
        <f aca="false">COUNTIFS(c35raw!B:B, Table514[[#This Row],[ID]], c35raw!E:E, Table514[[#This Row],[function]],  c35raw!F:F, Table514[[#This Row],[bug type]])</f>
        <v>1</v>
      </c>
      <c r="D27" s="14" t="n">
        <v>1</v>
      </c>
      <c r="E27" s="14" t="s">
        <v>2147</v>
      </c>
      <c r="F27" s="14" t="s">
        <v>234</v>
      </c>
      <c r="G27" s="14" t="s">
        <v>2087</v>
      </c>
      <c r="H27" s="14" t="s">
        <v>2030</v>
      </c>
      <c r="I27" s="7" t="s">
        <v>2320</v>
      </c>
      <c r="J27" s="14" t="s">
        <v>2148</v>
      </c>
    </row>
    <row r="28" customFormat="false" ht="14.5" hidden="false" customHeight="false" outlineLevel="0" collapsed="false">
      <c r="A28" s="14" t="n">
        <v>23</v>
      </c>
      <c r="B28" s="14" t="n">
        <v>1</v>
      </c>
      <c r="C28" s="14" t="n">
        <f aca="false">COUNTIFS(c35raw!B:B, Table514[[#This Row],[ID]], c35raw!E:E, Table514[[#This Row],[function]],  c35raw!F:F, Table514[[#This Row],[bug type]])</f>
        <v>2</v>
      </c>
      <c r="D28" s="14" t="n">
        <v>1</v>
      </c>
      <c r="E28" s="14" t="s">
        <v>2149</v>
      </c>
      <c r="F28" s="14" t="s">
        <v>234</v>
      </c>
      <c r="G28" s="14" t="s">
        <v>2087</v>
      </c>
      <c r="H28" s="14" t="s">
        <v>2321</v>
      </c>
      <c r="I28" s="7" t="s">
        <v>2322</v>
      </c>
      <c r="J28" s="14" t="s">
        <v>2150</v>
      </c>
    </row>
    <row r="29" customFormat="false" ht="14.5" hidden="false" customHeight="false" outlineLevel="0" collapsed="false">
      <c r="A29" s="14" t="n">
        <v>23</v>
      </c>
      <c r="B29" s="14" t="n">
        <v>1</v>
      </c>
      <c r="C29" s="14" t="n">
        <f aca="false">COUNTIFS(c35raw!B:B, Table514[[#This Row],[ID]], c35raw!E:E, Table514[[#This Row],[function]],  c35raw!F:F, Table514[[#This Row],[bug type]])</f>
        <v>1</v>
      </c>
      <c r="D29" s="14" t="n">
        <v>1</v>
      </c>
      <c r="E29" s="14" t="s">
        <v>2152</v>
      </c>
      <c r="F29" s="14" t="s">
        <v>237</v>
      </c>
      <c r="G29" s="14" t="s">
        <v>2087</v>
      </c>
      <c r="H29" s="14" t="s">
        <v>2033</v>
      </c>
      <c r="I29" s="14"/>
      <c r="J29" s="14" t="s">
        <v>2153</v>
      </c>
    </row>
    <row r="30" customFormat="false" ht="14.5" hidden="false" customHeight="false" outlineLevel="0" collapsed="false">
      <c r="A30" s="14" t="n">
        <v>38</v>
      </c>
      <c r="B30" s="14" t="n">
        <v>2</v>
      </c>
      <c r="C30" s="14" t="n">
        <f aca="false">COUNTIFS(c35raw!B:B, Table514[[#This Row],[ID]], c35raw!E:E, Table514[[#This Row],[function]],  c35raw!F:F, Table514[[#This Row],[bug type]])</f>
        <v>1</v>
      </c>
      <c r="D30" s="14" t="n">
        <v>1</v>
      </c>
      <c r="E30" s="14" t="s">
        <v>2157</v>
      </c>
      <c r="F30" s="14" t="s">
        <v>335</v>
      </c>
      <c r="G30" s="14" t="s">
        <v>2087</v>
      </c>
      <c r="H30" s="14" t="s">
        <v>1126</v>
      </c>
      <c r="I30" s="7" t="s">
        <v>2323</v>
      </c>
      <c r="J30" s="14" t="s">
        <v>2158</v>
      </c>
    </row>
    <row r="31" customFormat="false" ht="14.5" hidden="false" customHeight="false" outlineLevel="0" collapsed="false">
      <c r="A31" s="14" t="n">
        <v>38</v>
      </c>
      <c r="B31" s="14" t="n">
        <v>2</v>
      </c>
      <c r="C31" s="14" t="n">
        <f aca="false">COUNTIFS(c35raw!B:B, Table514[[#This Row],[ID]], c35raw!E:E, Table514[[#This Row],[function]],  c35raw!F:F, Table514[[#This Row],[bug type]])</f>
        <v>1</v>
      </c>
      <c r="D31" s="14" t="n">
        <v>1</v>
      </c>
      <c r="E31" s="14" t="s">
        <v>2159</v>
      </c>
      <c r="F31" s="14" t="s">
        <v>335</v>
      </c>
      <c r="G31" s="14" t="s">
        <v>2087</v>
      </c>
      <c r="H31" s="14" t="s">
        <v>2324</v>
      </c>
      <c r="I31" s="14"/>
      <c r="J31" s="14" t="s">
        <v>2160</v>
      </c>
    </row>
    <row r="32" customFormat="false" ht="14.5" hidden="false" customHeight="false" outlineLevel="0" collapsed="false">
      <c r="A32" s="14" t="n">
        <v>42</v>
      </c>
      <c r="B32" s="14" t="n">
        <v>2</v>
      </c>
      <c r="C32" s="14" t="n">
        <f aca="false">COUNTIFS(c35raw!B:B, Table514[[#This Row],[ID]], c35raw!E:E, Table514[[#This Row],[function]],  c35raw!F:F, Table514[[#This Row],[bug type]])</f>
        <v>1</v>
      </c>
      <c r="D32" s="14" t="n">
        <v>1</v>
      </c>
      <c r="E32" s="14" t="s">
        <v>2161</v>
      </c>
      <c r="F32" s="14" t="s">
        <v>357</v>
      </c>
      <c r="G32" s="14" t="s">
        <v>2087</v>
      </c>
      <c r="H32" s="14" t="s">
        <v>2324</v>
      </c>
      <c r="I32" s="14"/>
      <c r="J32" s="14" t="s">
        <v>2162</v>
      </c>
    </row>
    <row r="33" customFormat="false" ht="14.5" hidden="false" customHeight="false" outlineLevel="0" collapsed="false">
      <c r="A33" s="14" t="n">
        <v>42</v>
      </c>
      <c r="B33" s="14" t="n">
        <v>2</v>
      </c>
      <c r="C33" s="14" t="n">
        <f aca="false">COUNTIFS(c35raw!B:B, Table514[[#This Row],[ID]], c35raw!E:E, Table514[[#This Row],[function]],  c35raw!F:F, Table514[[#This Row],[bug type]])</f>
        <v>1</v>
      </c>
      <c r="D33" s="14" t="n">
        <v>1</v>
      </c>
      <c r="E33" s="14" t="s">
        <v>2163</v>
      </c>
      <c r="F33" s="14" t="s">
        <v>351</v>
      </c>
      <c r="G33" s="14" t="s">
        <v>2087</v>
      </c>
      <c r="H33" s="14" t="s">
        <v>2325</v>
      </c>
      <c r="I33" s="14"/>
      <c r="J33" s="14" t="s">
        <v>2164</v>
      </c>
    </row>
    <row r="34" customFormat="false" ht="14.5" hidden="false" customHeight="false" outlineLevel="0" collapsed="false">
      <c r="A34" s="14" t="n">
        <v>42</v>
      </c>
      <c r="B34" s="14" t="n">
        <v>3</v>
      </c>
      <c r="C34" s="14" t="n">
        <f aca="false">COUNTIFS(c35raw!B:B, Table514[[#This Row],[ID]], c35raw!E:E, Table514[[#This Row],[function]],  c35raw!F:F, Table514[[#This Row],[bug type]])</f>
        <v>1</v>
      </c>
      <c r="D34" s="14" t="n">
        <v>3</v>
      </c>
      <c r="E34" s="14" t="s">
        <v>2165</v>
      </c>
      <c r="F34" s="14" t="s">
        <v>351</v>
      </c>
      <c r="G34" s="14" t="s">
        <v>2118</v>
      </c>
      <c r="H34" s="14" t="s">
        <v>2033</v>
      </c>
      <c r="I34" s="14"/>
      <c r="J34" s="14" t="s">
        <v>2166</v>
      </c>
    </row>
    <row r="35" customFormat="false" ht="14.5" hidden="false" customHeight="false" outlineLevel="0" collapsed="false">
      <c r="A35" s="14" t="n">
        <v>51</v>
      </c>
      <c r="B35" s="14" t="n">
        <v>1</v>
      </c>
      <c r="C35" s="14" t="n">
        <f aca="false">COUNTIFS(c35raw!B:B, Table514[[#This Row],[ID]], c35raw!E:E, Table514[[#This Row],[function]],  c35raw!F:F, Table514[[#This Row],[bug type]])</f>
        <v>3</v>
      </c>
      <c r="D35" s="14" t="n">
        <v>1</v>
      </c>
      <c r="E35" s="14" t="s">
        <v>2168</v>
      </c>
      <c r="F35" s="14" t="s">
        <v>417</v>
      </c>
      <c r="G35" s="14" t="s">
        <v>2087</v>
      </c>
      <c r="H35" s="14" t="s">
        <v>2326</v>
      </c>
      <c r="I35" s="7" t="s">
        <v>2327</v>
      </c>
      <c r="J35" s="14" t="s">
        <v>2169</v>
      </c>
    </row>
    <row r="36" customFormat="false" ht="14.5" hidden="false" customHeight="false" outlineLevel="0" collapsed="false">
      <c r="A36" s="14" t="n">
        <v>51</v>
      </c>
      <c r="B36" s="14" t="n">
        <v>2</v>
      </c>
      <c r="C36" s="14" t="n">
        <f aca="false">COUNTIFS(c35raw!B:B, Table514[[#This Row],[ID]], c35raw!E:E, Table514[[#This Row],[function]],  c35raw!F:F, Table514[[#This Row],[bug type]])</f>
        <v>1</v>
      </c>
      <c r="D36" s="14" t="n">
        <v>2</v>
      </c>
      <c r="E36" s="14" t="s">
        <v>1489</v>
      </c>
      <c r="F36" s="14" t="s">
        <v>417</v>
      </c>
      <c r="G36" s="14" t="s">
        <v>2087</v>
      </c>
      <c r="H36" s="14" t="s">
        <v>2328</v>
      </c>
      <c r="I36" s="14"/>
      <c r="J36" s="14" t="s">
        <v>2173</v>
      </c>
    </row>
    <row r="37" customFormat="false" ht="14.5" hidden="false" customHeight="false" outlineLevel="0" collapsed="false">
      <c r="A37" s="14" t="n">
        <v>51</v>
      </c>
      <c r="B37" s="14" t="n">
        <v>3</v>
      </c>
      <c r="C37" s="14" t="n">
        <f aca="false">COUNTIFS(c35raw!B:B, Table514[[#This Row],[ID]], c35raw!E:E, Table514[[#This Row],[function]],  c35raw!F:F, Table514[[#This Row],[bug type]])</f>
        <v>1</v>
      </c>
      <c r="D37" s="14" t="n">
        <v>1</v>
      </c>
      <c r="E37" s="14" t="s">
        <v>2168</v>
      </c>
      <c r="F37" s="14" t="s">
        <v>417</v>
      </c>
      <c r="G37" s="14" t="s">
        <v>2175</v>
      </c>
      <c r="H37" s="14" t="s">
        <v>2329</v>
      </c>
      <c r="I37" s="7" t="s">
        <v>2327</v>
      </c>
      <c r="J37" s="14" t="s">
        <v>2176</v>
      </c>
    </row>
    <row r="38" customFormat="false" ht="14.5" hidden="false" customHeight="false" outlineLevel="0" collapsed="false">
      <c r="A38" s="14" t="n">
        <v>52</v>
      </c>
      <c r="B38" s="14" t="n">
        <v>1</v>
      </c>
      <c r="C38" s="14" t="n">
        <f aca="false">COUNTIFS(c35raw!B:B, Table514[[#This Row],[ID]], c35raw!E:E, Table514[[#This Row],[function]],  c35raw!F:F, Table514[[#This Row],[bug type]])</f>
        <v>1</v>
      </c>
      <c r="D38" s="14" t="n">
        <v>1</v>
      </c>
      <c r="E38" s="14" t="s">
        <v>1058</v>
      </c>
      <c r="F38" s="5" t="s">
        <v>420</v>
      </c>
      <c r="G38" s="14" t="s">
        <v>2087</v>
      </c>
      <c r="H38" s="14" t="s">
        <v>2033</v>
      </c>
      <c r="I38" s="14"/>
      <c r="J38" s="14" t="s">
        <v>2177</v>
      </c>
    </row>
    <row r="39" customFormat="false" ht="14.5" hidden="false" customHeight="false" outlineLevel="0" collapsed="false">
      <c r="A39" s="14" t="n">
        <v>52</v>
      </c>
      <c r="B39" s="14" t="n">
        <v>1</v>
      </c>
      <c r="C39" s="14" t="n">
        <f aca="false">COUNTIFS(c35raw!B:B, Table514[[#This Row],[ID]], c35raw!E:E, Table514[[#This Row],[function]],  c35raw!F:F, Table514[[#This Row],[bug type]])</f>
        <v>2</v>
      </c>
      <c r="D39" s="14" t="n">
        <v>2</v>
      </c>
      <c r="E39" s="14" t="s">
        <v>1592</v>
      </c>
      <c r="F39" s="14" t="s">
        <v>420</v>
      </c>
      <c r="G39" s="14" t="s">
        <v>2087</v>
      </c>
      <c r="H39" s="14" t="s">
        <v>2005</v>
      </c>
      <c r="I39" s="14"/>
      <c r="J39" s="14" t="s">
        <v>2178</v>
      </c>
    </row>
    <row r="40" customFormat="false" ht="14.5" hidden="false" customHeight="false" outlineLevel="0" collapsed="false">
      <c r="A40" s="14" t="n">
        <v>52</v>
      </c>
      <c r="B40" s="14" t="n">
        <v>1</v>
      </c>
      <c r="C40" s="14" t="n">
        <f aca="false">COUNTIFS(c35raw!B:B, Table514[[#This Row],[ID]], c35raw!E:E, Table514[[#This Row],[function]],  c35raw!F:F, Table514[[#This Row],[bug type]])</f>
        <v>3</v>
      </c>
      <c r="D40" s="14" t="n">
        <v>1</v>
      </c>
      <c r="E40" s="14" t="s">
        <v>2179</v>
      </c>
      <c r="F40" s="5" t="s">
        <v>479</v>
      </c>
      <c r="G40" s="14" t="s">
        <v>2087</v>
      </c>
      <c r="H40" s="14" t="s">
        <v>2330</v>
      </c>
      <c r="I40" s="7" t="s">
        <v>2331</v>
      </c>
      <c r="J40" s="14" t="s">
        <v>2180</v>
      </c>
    </row>
    <row r="41" customFormat="false" ht="14.5" hidden="false" customHeight="false" outlineLevel="0" collapsed="false">
      <c r="A41" s="14" t="n">
        <v>52</v>
      </c>
      <c r="B41" s="14" t="n">
        <v>2</v>
      </c>
      <c r="C41" s="14" t="n">
        <f aca="false">COUNTIFS(c35raw!B:B, Table514[[#This Row],[ID]], c35raw!E:E, Table514[[#This Row],[function]],  c35raw!F:F, Table514[[#This Row],[bug type]])</f>
        <v>1</v>
      </c>
      <c r="D41" s="14" t="n">
        <v>2</v>
      </c>
      <c r="E41" s="14" t="s">
        <v>1489</v>
      </c>
      <c r="F41" s="14" t="s">
        <v>479</v>
      </c>
      <c r="G41" s="14" t="s">
        <v>2087</v>
      </c>
      <c r="H41" s="14" t="s">
        <v>2005</v>
      </c>
      <c r="I41" s="14"/>
      <c r="J41" s="14" t="s">
        <v>2183</v>
      </c>
    </row>
    <row r="42" customFormat="false" ht="14.5" hidden="false" customHeight="false" outlineLevel="0" collapsed="false">
      <c r="A42" s="14" t="n">
        <v>52</v>
      </c>
      <c r="B42" s="14" t="n">
        <v>3</v>
      </c>
      <c r="C42" s="14" t="n">
        <f aca="false">COUNTIFS(c35raw!B:B, Table514[[#This Row],[ID]], c35raw!E:E, Table514[[#This Row],[function]],  c35raw!F:F, Table514[[#This Row],[bug type]])</f>
        <v>1</v>
      </c>
      <c r="D42" s="14" t="n">
        <v>2</v>
      </c>
      <c r="E42" s="14" t="s">
        <v>2185</v>
      </c>
      <c r="F42" s="14" t="s">
        <v>479</v>
      </c>
      <c r="G42" s="14" t="s">
        <v>2087</v>
      </c>
      <c r="H42" s="14" t="s">
        <v>2033</v>
      </c>
      <c r="I42" s="14"/>
      <c r="J42" s="14" t="s">
        <v>2186</v>
      </c>
    </row>
    <row r="43" customFormat="false" ht="14.5" hidden="false" customHeight="false" outlineLevel="0" collapsed="false">
      <c r="A43" s="14" t="n">
        <v>64</v>
      </c>
      <c r="B43" s="14" t="n">
        <v>2</v>
      </c>
      <c r="C43" s="14" t="n">
        <f aca="false">COUNTIFS(c35raw!B:B, Table514[[#This Row],[ID]], c35raw!E:E, Table514[[#This Row],[function]],  c35raw!F:F, Table514[[#This Row],[bug type]])</f>
        <v>2</v>
      </c>
      <c r="D43" s="14" t="n">
        <v>1</v>
      </c>
      <c r="E43" s="14" t="s">
        <v>2188</v>
      </c>
      <c r="F43" s="14" t="s">
        <v>580</v>
      </c>
      <c r="G43" s="14" t="s">
        <v>2087</v>
      </c>
      <c r="H43" s="14" t="s">
        <v>2332</v>
      </c>
      <c r="I43" s="14"/>
      <c r="J43" s="14" t="s">
        <v>2189</v>
      </c>
    </row>
    <row r="44" customFormat="false" ht="14.5" hidden="false" customHeight="false" outlineLevel="0" collapsed="false">
      <c r="A44" s="14" t="n">
        <v>64</v>
      </c>
      <c r="B44" s="14" t="n">
        <v>2</v>
      </c>
      <c r="C44" s="14" t="n">
        <f aca="false">COUNTIFS(c35raw!B:B, Table514[[#This Row],[ID]], c35raw!E:E, Table514[[#This Row],[function]],  c35raw!F:F, Table514[[#This Row],[bug type]])</f>
        <v>1</v>
      </c>
      <c r="D44" s="14" t="n">
        <v>1</v>
      </c>
      <c r="E44" s="14" t="s">
        <v>2190</v>
      </c>
      <c r="F44" s="5" t="s">
        <v>580</v>
      </c>
      <c r="G44" s="14" t="s">
        <v>2087</v>
      </c>
      <c r="H44" s="14" t="s">
        <v>2332</v>
      </c>
      <c r="I44" s="14"/>
      <c r="J44" s="14" t="s">
        <v>2191</v>
      </c>
    </row>
    <row r="45" customFormat="false" ht="14.5" hidden="false" customHeight="false" outlineLevel="0" collapsed="false">
      <c r="A45" s="14" t="n">
        <v>71</v>
      </c>
      <c r="B45" s="14" t="n">
        <v>1</v>
      </c>
      <c r="C45" s="14" t="n">
        <f aca="false">COUNTIFS(c35raw!B:B, Table514[[#This Row],[ID]], c35raw!E:E, Table514[[#This Row],[function]],  c35raw!F:F, Table514[[#This Row],[bug type]])</f>
        <v>4</v>
      </c>
      <c r="D45" s="14" t="n">
        <v>1</v>
      </c>
      <c r="E45" s="14" t="s">
        <v>2194</v>
      </c>
      <c r="F45" s="1" t="s">
        <v>645</v>
      </c>
      <c r="G45" s="14" t="s">
        <v>2087</v>
      </c>
      <c r="H45" s="14" t="s">
        <v>2333</v>
      </c>
      <c r="I45" s="7" t="s">
        <v>2334</v>
      </c>
      <c r="J45" s="14" t="s">
        <v>2195</v>
      </c>
    </row>
    <row r="46" customFormat="false" ht="14.5" hidden="false" customHeight="false" outlineLevel="0" collapsed="false">
      <c r="A46" s="14" t="n">
        <v>71</v>
      </c>
      <c r="B46" s="14" t="n">
        <v>1</v>
      </c>
      <c r="C46" s="14" t="n">
        <f aca="false">COUNTIFS(c35raw!B:B, Table514[[#This Row],[ID]], c35raw!E:E, Table514[[#This Row],[function]],  c35raw!F:F, Table514[[#This Row],[bug type]])</f>
        <v>1</v>
      </c>
      <c r="D46" s="14" t="n">
        <v>2</v>
      </c>
      <c r="E46" s="14" t="s">
        <v>2196</v>
      </c>
      <c r="F46" s="15" t="s">
        <v>2335</v>
      </c>
      <c r="G46" s="14" t="s">
        <v>2087</v>
      </c>
      <c r="H46" s="14" t="s">
        <v>2005</v>
      </c>
      <c r="I46" s="14"/>
      <c r="J46" s="14" t="s">
        <v>2197</v>
      </c>
    </row>
    <row r="47" customFormat="false" ht="14.5" hidden="false" customHeight="false" outlineLevel="0" collapsed="false">
      <c r="A47" s="14" t="n">
        <v>71</v>
      </c>
      <c r="B47" s="14" t="n">
        <v>1</v>
      </c>
      <c r="C47" s="14" t="n">
        <f aca="false">COUNTIFS(c35raw!B:B, Table514[[#This Row],[ID]], c35raw!E:E, Table514[[#This Row],[function]],  c35raw!F:F, Table514[[#This Row],[bug type]])</f>
        <v>2</v>
      </c>
      <c r="D47" s="14" t="n">
        <v>1</v>
      </c>
      <c r="E47" s="14" t="s">
        <v>2198</v>
      </c>
      <c r="F47" s="14" t="s">
        <v>652</v>
      </c>
      <c r="G47" s="14" t="s">
        <v>2087</v>
      </c>
      <c r="H47" s="14" t="s">
        <v>2005</v>
      </c>
      <c r="I47" s="14"/>
      <c r="J47" s="14" t="s">
        <v>2199</v>
      </c>
    </row>
    <row r="48" customFormat="false" ht="14.5" hidden="false" customHeight="false" outlineLevel="0" collapsed="false">
      <c r="A48" s="14" t="n">
        <v>71</v>
      </c>
      <c r="B48" s="14" t="n">
        <v>1</v>
      </c>
      <c r="C48" s="14" t="n">
        <f aca="false">COUNTIFS(c35raw!B:B, Table514[[#This Row],[ID]], c35raw!E:E, Table514[[#This Row],[function]],  c35raw!F:F, Table514[[#This Row],[bug type]])</f>
        <v>1</v>
      </c>
      <c r="D48" s="14" t="n">
        <v>1</v>
      </c>
      <c r="E48" s="14" t="s">
        <v>2200</v>
      </c>
      <c r="F48" s="14" t="s">
        <v>652</v>
      </c>
      <c r="G48" s="14" t="s">
        <v>2087</v>
      </c>
      <c r="H48" s="14" t="s">
        <v>2309</v>
      </c>
      <c r="I48" s="14"/>
      <c r="J48" s="14" t="s">
        <v>2201</v>
      </c>
    </row>
    <row r="49" customFormat="false" ht="14.5" hidden="false" customHeight="false" outlineLevel="0" collapsed="false">
      <c r="A49" s="14" t="n">
        <v>71</v>
      </c>
      <c r="B49" s="14" t="n">
        <v>1</v>
      </c>
      <c r="C49" s="14" t="n">
        <f aca="false">COUNTIFS(c35raw!B:B, Table514[[#This Row],[ID]], c35raw!E:E, Table514[[#This Row],[function]],  c35raw!F:F, Table514[[#This Row],[bug type]])</f>
        <v>2</v>
      </c>
      <c r="D49" s="14" t="n">
        <v>1</v>
      </c>
      <c r="E49" s="14" t="s">
        <v>1592</v>
      </c>
      <c r="F49" s="14" t="s">
        <v>652</v>
      </c>
      <c r="G49" s="14" t="s">
        <v>2087</v>
      </c>
      <c r="H49" s="14" t="s">
        <v>2336</v>
      </c>
      <c r="I49" s="7" t="s">
        <v>2337</v>
      </c>
      <c r="J49" s="14" t="s">
        <v>2202</v>
      </c>
    </row>
    <row r="50" customFormat="false" ht="14.5" hidden="false" customHeight="false" outlineLevel="0" collapsed="false">
      <c r="A50" s="14" t="n">
        <v>71</v>
      </c>
      <c r="B50" s="14" t="n">
        <v>1</v>
      </c>
      <c r="C50" s="14" t="n">
        <f aca="false">COUNTIFS(c35raw!B:B, Table514[[#This Row],[ID]], c35raw!E:E, Table514[[#This Row],[function]],  c35raw!F:F, Table514[[#This Row],[bug type]])</f>
        <v>2</v>
      </c>
      <c r="D50" s="14" t="n">
        <v>2</v>
      </c>
      <c r="E50" s="14" t="s">
        <v>2203</v>
      </c>
      <c r="F50" s="14" t="s">
        <v>652</v>
      </c>
      <c r="G50" s="14" t="s">
        <v>2087</v>
      </c>
      <c r="H50" s="14" t="s">
        <v>1129</v>
      </c>
      <c r="I50" s="7" t="s">
        <v>2338</v>
      </c>
      <c r="J50" s="14" t="s">
        <v>2204</v>
      </c>
    </row>
    <row r="51" customFormat="false" ht="14.5" hidden="false" customHeight="false" outlineLevel="0" collapsed="false">
      <c r="A51" s="14" t="n">
        <v>71</v>
      </c>
      <c r="B51" s="14" t="n">
        <v>2</v>
      </c>
      <c r="C51" s="14" t="n">
        <f aca="false">COUNTIFS(c35raw!B:B, Table514[[#This Row],[ID]], c35raw!E:E, Table514[[#This Row],[function]],  c35raw!F:F, Table514[[#This Row],[bug type]])</f>
        <v>1</v>
      </c>
      <c r="D51" s="14" t="n">
        <v>2</v>
      </c>
      <c r="E51" s="14" t="s">
        <v>2209</v>
      </c>
      <c r="F51" s="14" t="s">
        <v>652</v>
      </c>
      <c r="G51" s="14" t="s">
        <v>2087</v>
      </c>
      <c r="H51" s="14" t="s">
        <v>2315</v>
      </c>
      <c r="I51" s="14"/>
      <c r="J51" s="14" t="s">
        <v>2210</v>
      </c>
    </row>
    <row r="52" customFormat="false" ht="14.5" hidden="false" customHeight="false" outlineLevel="0" collapsed="false">
      <c r="A52" s="14" t="n">
        <v>71</v>
      </c>
      <c r="B52" s="14" t="n">
        <v>2</v>
      </c>
      <c r="C52" s="14" t="n">
        <f aca="false">COUNTIFS(c35raw!B:B, Table514[[#This Row],[ID]], c35raw!E:E, Table514[[#This Row],[function]],  c35raw!F:F, Table514[[#This Row],[bug type]])</f>
        <v>2</v>
      </c>
      <c r="D52" s="14" t="n">
        <v>1</v>
      </c>
      <c r="E52" s="14" t="s">
        <v>2211</v>
      </c>
      <c r="F52" s="1" t="s">
        <v>3</v>
      </c>
      <c r="G52" s="14" t="s">
        <v>2087</v>
      </c>
      <c r="H52" s="14" t="s">
        <v>2325</v>
      </c>
      <c r="I52" s="14"/>
      <c r="J52" s="14" t="s">
        <v>2212</v>
      </c>
    </row>
    <row r="53" customFormat="false" ht="14.5" hidden="false" customHeight="false" outlineLevel="0" collapsed="false">
      <c r="A53" s="14" t="n">
        <v>74</v>
      </c>
      <c r="B53" s="14" t="n">
        <v>3</v>
      </c>
      <c r="C53" s="14" t="n">
        <f aca="false">COUNTIFS(c35raw!B:B, Table514[[#This Row],[ID]], c35raw!E:E, Table514[[#This Row],[function]],  c35raw!F:F, Table514[[#This Row],[bug type]])</f>
        <v>1</v>
      </c>
      <c r="D53" s="14" t="n">
        <v>1</v>
      </c>
      <c r="E53" s="14" t="s">
        <v>2219</v>
      </c>
      <c r="F53" s="14" t="s">
        <v>661</v>
      </c>
      <c r="G53" s="14" t="s">
        <v>2087</v>
      </c>
      <c r="H53" s="14" t="s">
        <v>2027</v>
      </c>
      <c r="I53" s="14"/>
      <c r="J53" s="14" t="s">
        <v>2220</v>
      </c>
    </row>
    <row r="54" customFormat="false" ht="14.5" hidden="false" customHeight="false" outlineLevel="0" collapsed="false">
      <c r="A54" s="14" t="n">
        <v>74</v>
      </c>
      <c r="B54" s="14" t="n">
        <v>3</v>
      </c>
      <c r="C54" s="14" t="n">
        <f aca="false">COUNTIFS(c35raw!B:B, Table514[[#This Row],[ID]], c35raw!E:E, Table514[[#This Row],[function]],  c35raw!F:F, Table514[[#This Row],[bug type]])</f>
        <v>1</v>
      </c>
      <c r="D54" s="14" t="n">
        <v>2</v>
      </c>
      <c r="E54" s="14" t="s">
        <v>2221</v>
      </c>
      <c r="F54" s="14" t="s">
        <v>661</v>
      </c>
      <c r="G54" s="14" t="s">
        <v>2087</v>
      </c>
      <c r="H54" s="14" t="s">
        <v>2005</v>
      </c>
      <c r="I54" s="14"/>
      <c r="J54" s="14" t="s">
        <v>2222</v>
      </c>
    </row>
    <row r="55" customFormat="false" ht="14.5" hidden="false" customHeight="false" outlineLevel="0" collapsed="false">
      <c r="A55" s="14" t="n">
        <v>78</v>
      </c>
      <c r="B55" s="14" t="n">
        <v>2</v>
      </c>
      <c r="C55" s="14" t="n">
        <f aca="false">COUNTIFS(c35raw!B:B, Table514[[#This Row],[ID]], c35raw!E:E, Table514[[#This Row],[function]],  c35raw!F:F, Table514[[#This Row],[bug type]])</f>
        <v>2</v>
      </c>
      <c r="D55" s="14" t="n">
        <v>1</v>
      </c>
      <c r="E55" s="14" t="s">
        <v>2223</v>
      </c>
      <c r="F55" s="1" t="s">
        <v>672</v>
      </c>
      <c r="G55" s="14" t="s">
        <v>2087</v>
      </c>
      <c r="H55" s="14" t="s">
        <v>2005</v>
      </c>
      <c r="I55" s="14"/>
      <c r="J55" s="14" t="s">
        <v>2224</v>
      </c>
    </row>
    <row r="56" customFormat="false" ht="14.5" hidden="false" customHeight="false" outlineLevel="0" collapsed="false">
      <c r="A56" s="14" t="n">
        <v>78</v>
      </c>
      <c r="B56" s="14" t="n">
        <v>2</v>
      </c>
      <c r="C56" s="14" t="n">
        <f aca="false">COUNTIFS(c35raw!B:B, Table514[[#This Row],[ID]], c35raw!E:E, Table514[[#This Row],[function]],  c35raw!F:F, Table514[[#This Row],[bug type]])</f>
        <v>1</v>
      </c>
      <c r="D56" s="14" t="n">
        <v>2</v>
      </c>
      <c r="E56" s="14" t="s">
        <v>2225</v>
      </c>
      <c r="F56" s="1" t="s">
        <v>672</v>
      </c>
      <c r="G56" s="14" t="s">
        <v>2087</v>
      </c>
      <c r="H56" s="14" t="s">
        <v>2339</v>
      </c>
      <c r="I56" s="14"/>
      <c r="J56" s="14" t="s">
        <v>2226</v>
      </c>
    </row>
    <row r="57" customFormat="false" ht="14.5" hidden="false" customHeight="false" outlineLevel="0" collapsed="false">
      <c r="A57" s="14" t="n">
        <v>78</v>
      </c>
      <c r="B57" s="14" t="n">
        <v>3</v>
      </c>
      <c r="C57" s="14" t="n">
        <f aca="false">COUNTIFS(c35raw!B:B, Table514[[#This Row],[ID]], c35raw!E:E, Table514[[#This Row],[function]],  c35raw!F:F, Table514[[#This Row],[bug type]])</f>
        <v>1</v>
      </c>
      <c r="D57" s="14" t="n">
        <v>1</v>
      </c>
      <c r="E57" s="14" t="s">
        <v>2227</v>
      </c>
      <c r="F57" s="1" t="s">
        <v>672</v>
      </c>
      <c r="G57" s="14" t="s">
        <v>2087</v>
      </c>
      <c r="H57" s="14" t="s">
        <v>1133</v>
      </c>
      <c r="I57" s="7" t="s">
        <v>2340</v>
      </c>
      <c r="J57" s="14" t="s">
        <v>2228</v>
      </c>
    </row>
    <row r="58" customFormat="false" ht="14.5" hidden="false" customHeight="false" outlineLevel="0" collapsed="false">
      <c r="A58" s="14" t="n">
        <v>78</v>
      </c>
      <c r="B58" s="14" t="n">
        <v>3</v>
      </c>
      <c r="C58" s="14" t="n">
        <f aca="false">COUNTIFS(c35raw!B:B, Table514[[#This Row],[ID]], c35raw!E:E, Table514[[#This Row],[function]],  c35raw!F:F, Table514[[#This Row],[bug type]])</f>
        <v>1</v>
      </c>
      <c r="D58" s="14" t="n">
        <v>3</v>
      </c>
      <c r="E58" s="14" t="s">
        <v>2230</v>
      </c>
      <c r="F58" s="1" t="s">
        <v>672</v>
      </c>
      <c r="G58" s="14" t="s">
        <v>2087</v>
      </c>
      <c r="H58" s="14" t="s">
        <v>2341</v>
      </c>
      <c r="I58" s="14"/>
      <c r="J58" s="14" t="s">
        <v>2231</v>
      </c>
    </row>
    <row r="59" customFormat="false" ht="14.5" hidden="false" customHeight="false" outlineLevel="0" collapsed="false">
      <c r="A59" s="14" t="n">
        <v>81</v>
      </c>
      <c r="B59" s="14" t="n">
        <v>3</v>
      </c>
      <c r="C59" s="14" t="n">
        <f aca="false">COUNTIFS(c35raw!B:B, Table514[[#This Row],[ID]], c35raw!E:E, Table514[[#This Row],[function]],  c35raw!F:F, Table514[[#This Row],[bug type]])</f>
        <v>1</v>
      </c>
      <c r="D59" s="14" t="n">
        <v>1</v>
      </c>
      <c r="E59" s="14" t="s">
        <v>2235</v>
      </c>
      <c r="F59" s="1" t="s">
        <v>700</v>
      </c>
      <c r="G59" s="14" t="s">
        <v>2087</v>
      </c>
      <c r="H59" s="14" t="s">
        <v>2342</v>
      </c>
      <c r="I59" s="14"/>
      <c r="J59" s="14" t="s">
        <v>2236</v>
      </c>
    </row>
    <row r="60" customFormat="false" ht="14.5" hidden="false" customHeight="false" outlineLevel="0" collapsed="false">
      <c r="A60" s="14" t="n">
        <v>83</v>
      </c>
      <c r="B60" s="14" t="n">
        <v>1</v>
      </c>
      <c r="C60" s="14" t="n">
        <f aca="false">COUNTIFS(c35raw!B:B, Table514[[#This Row],[ID]], c35raw!E:E, Table514[[#This Row],[function]],  c35raw!F:F, Table514[[#This Row],[bug type]])</f>
        <v>1</v>
      </c>
      <c r="D60" s="14" t="n">
        <v>1</v>
      </c>
      <c r="E60" s="14" t="s">
        <v>2237</v>
      </c>
      <c r="F60" s="14" t="s">
        <v>697</v>
      </c>
      <c r="G60" s="14" t="s">
        <v>2087</v>
      </c>
      <c r="H60" s="14" t="s">
        <v>2033</v>
      </c>
      <c r="I60" s="14"/>
      <c r="J60" s="14" t="s">
        <v>2238</v>
      </c>
    </row>
    <row r="61" customFormat="false" ht="14.5" hidden="false" customHeight="false" outlineLevel="0" collapsed="false">
      <c r="A61" s="14" t="n">
        <v>103</v>
      </c>
      <c r="B61" s="14" t="n">
        <v>1</v>
      </c>
      <c r="C61" s="14" t="n">
        <f aca="false">COUNTIFS(c35raw!B:B, Table514[[#This Row],[ID]], c35raw!E:E, Table514[[#This Row],[function]],  c35raw!F:F, Table514[[#This Row],[bug type]])</f>
        <v>1</v>
      </c>
      <c r="D61" s="14" t="n">
        <v>1</v>
      </c>
      <c r="E61" s="14" t="s">
        <v>2252</v>
      </c>
      <c r="F61" s="1" t="s">
        <v>765</v>
      </c>
      <c r="G61" s="14" t="s">
        <v>2087</v>
      </c>
      <c r="H61" s="14" t="s">
        <v>1133</v>
      </c>
      <c r="I61" s="7" t="s">
        <v>2343</v>
      </c>
      <c r="J61" s="14" t="s">
        <v>2344</v>
      </c>
    </row>
    <row r="62" customFormat="false" ht="14.5" hidden="false" customHeight="false" outlineLevel="0" collapsed="false">
      <c r="A62" s="14" t="n">
        <v>103</v>
      </c>
      <c r="B62" s="14" t="n">
        <v>2</v>
      </c>
      <c r="C62" s="14" t="n">
        <f aca="false">COUNTIFS(c35raw!B:B, Table514[[#This Row],[ID]], c35raw!E:E, Table514[[#This Row],[function]],  c35raw!F:F, Table514[[#This Row],[bug type]])</f>
        <v>1</v>
      </c>
      <c r="D62" s="14" t="n">
        <v>1</v>
      </c>
      <c r="E62" s="14" t="s">
        <v>2245</v>
      </c>
      <c r="F62" s="15" t="s">
        <v>2345</v>
      </c>
      <c r="G62" s="14" t="s">
        <v>2087</v>
      </c>
      <c r="H62" s="14" t="s">
        <v>2033</v>
      </c>
      <c r="I62" s="36"/>
      <c r="J62" s="14" t="s">
        <v>2246</v>
      </c>
    </row>
    <row r="63" customFormat="false" ht="14.5" hidden="false" customHeight="false" outlineLevel="0" collapsed="false">
      <c r="A63" s="14" t="n">
        <v>103</v>
      </c>
      <c r="B63" s="14" t="n">
        <v>1</v>
      </c>
      <c r="C63" s="14" t="n">
        <f aca="false">COUNTIFS(c35raw!B:B, Table514[[#This Row],[ID]], c35raw!E:E, Table514[[#This Row],[function]],  c35raw!F:F, Table514[[#This Row],[bug type]])</f>
        <v>1</v>
      </c>
      <c r="D63" s="14" t="n">
        <v>1</v>
      </c>
      <c r="E63" s="14" t="s">
        <v>2248</v>
      </c>
      <c r="F63" s="15" t="s">
        <v>2345</v>
      </c>
      <c r="G63" s="14" t="s">
        <v>2087</v>
      </c>
      <c r="H63" s="14" t="s">
        <v>2005</v>
      </c>
      <c r="I63" s="36"/>
      <c r="J63" s="14" t="s">
        <v>2249</v>
      </c>
    </row>
    <row r="64" customFormat="false" ht="14.5" hidden="false" customHeight="false" outlineLevel="0" collapsed="false">
      <c r="A64" s="14" t="n">
        <v>103</v>
      </c>
      <c r="B64" s="14" t="n">
        <v>1</v>
      </c>
      <c r="C64" s="14" t="n">
        <f aca="false">COUNTIFS(c35raw!B:B, Table514[[#This Row],[ID]], c35raw!E:E, Table514[[#This Row],[function]],  c35raw!F:F, Table514[[#This Row],[bug type]])</f>
        <v>1</v>
      </c>
      <c r="D64" s="14" t="n">
        <v>2</v>
      </c>
      <c r="E64" s="14" t="s">
        <v>2250</v>
      </c>
      <c r="F64" s="15" t="s">
        <v>2345</v>
      </c>
      <c r="G64" s="14" t="s">
        <v>2118</v>
      </c>
      <c r="H64" s="14" t="s">
        <v>2005</v>
      </c>
      <c r="I64" s="36"/>
      <c r="J64" s="14" t="s">
        <v>2251</v>
      </c>
    </row>
    <row r="65" customFormat="false" ht="14.5" hidden="false" customHeight="false" outlineLevel="0" collapsed="false">
      <c r="A65" s="14" t="n">
        <v>103</v>
      </c>
      <c r="B65" s="14" t="n">
        <v>1</v>
      </c>
      <c r="C65" s="14" t="n">
        <f aca="false">COUNTIFS(c35raw!B:B, Table514[[#This Row],[ID]], c35raw!E:E, Table514[[#This Row],[function]],  c35raw!F:F, Table514[[#This Row],[bug type]])</f>
        <v>1</v>
      </c>
      <c r="D65" s="14" t="n">
        <v>1</v>
      </c>
      <c r="E65" s="14" t="s">
        <v>2254</v>
      </c>
      <c r="F65" s="15" t="s">
        <v>2346</v>
      </c>
      <c r="G65" s="14" t="s">
        <v>2087</v>
      </c>
      <c r="H65" s="14" t="s">
        <v>2328</v>
      </c>
      <c r="I65" s="36"/>
      <c r="J65" s="14" t="s">
        <v>2255</v>
      </c>
    </row>
    <row r="66" customFormat="false" ht="14.5" hidden="false" customHeight="false" outlineLevel="0" collapsed="false">
      <c r="A66" s="14" t="n">
        <v>107</v>
      </c>
      <c r="B66" s="14" t="n">
        <v>1</v>
      </c>
      <c r="C66" s="14" t="n">
        <f aca="false">COUNTIFS(c35raw!B:B, Table514[[#This Row],[ID]], c35raw!E:E, Table514[[#This Row],[function]],  c35raw!F:F, Table514[[#This Row],[bug type]])</f>
        <v>4</v>
      </c>
      <c r="D66" s="14" t="n">
        <v>1</v>
      </c>
      <c r="E66" s="14" t="s">
        <v>2257</v>
      </c>
      <c r="F66" s="1" t="s">
        <v>779</v>
      </c>
      <c r="G66" s="14" t="s">
        <v>2087</v>
      </c>
      <c r="H66" s="14" t="s">
        <v>2005</v>
      </c>
      <c r="I66" s="14"/>
      <c r="J66" s="14" t="s">
        <v>2258</v>
      </c>
    </row>
    <row r="67" customFormat="false" ht="14.5" hidden="false" customHeight="false" outlineLevel="0" collapsed="false">
      <c r="A67" s="14" t="n">
        <v>107</v>
      </c>
      <c r="B67" s="14" t="n">
        <v>3</v>
      </c>
      <c r="C67" s="14" t="n">
        <f aca="false">COUNTIFS(c35raw!B:B, Table514[[#This Row],[ID]], c35raw!E:E, Table514[[#This Row],[function]],  c35raw!F:F, Table514[[#This Row],[bug type]])</f>
        <v>1</v>
      </c>
      <c r="D67" s="14" t="n">
        <v>1</v>
      </c>
      <c r="E67" s="14" t="s">
        <v>2263</v>
      </c>
      <c r="F67" s="1" t="s">
        <v>779</v>
      </c>
      <c r="G67" s="14" t="s">
        <v>2087</v>
      </c>
      <c r="H67" s="14" t="s">
        <v>2033</v>
      </c>
      <c r="I67" s="14"/>
      <c r="J67" s="14" t="s">
        <v>2264</v>
      </c>
    </row>
    <row r="68" customFormat="false" ht="14.5" hidden="false" customHeight="false" outlineLevel="0" collapsed="false">
      <c r="A68" s="14" t="n">
        <v>123</v>
      </c>
      <c r="B68" s="14" t="n">
        <v>1</v>
      </c>
      <c r="C68" s="14" t="n">
        <f aca="false">COUNTIFS(c35raw!B:B, Table514[[#This Row],[ID]], c35raw!E:E, Table514[[#This Row],[function]],  c35raw!F:F, Table514[[#This Row],[bug type]])</f>
        <v>1</v>
      </c>
      <c r="D68" s="14" t="n">
        <v>1</v>
      </c>
      <c r="E68" s="14" t="s">
        <v>2267</v>
      </c>
      <c r="F68" s="5" t="s">
        <v>814</v>
      </c>
      <c r="G68" s="14" t="s">
        <v>2087</v>
      </c>
      <c r="H68" s="14" t="s">
        <v>2005</v>
      </c>
      <c r="I68" s="14"/>
      <c r="J68" s="14" t="s">
        <v>2268</v>
      </c>
    </row>
    <row r="69" customFormat="false" ht="14.5" hidden="false" customHeight="false" outlineLevel="0" collapsed="false">
      <c r="A69" s="14" t="n">
        <v>123</v>
      </c>
      <c r="B69" s="14" t="n">
        <v>1</v>
      </c>
      <c r="C69" s="14" t="n">
        <f aca="false">COUNTIFS(c35raw!B:B, Table514[[#This Row],[ID]], c35raw!E:E, Table514[[#This Row],[function]],  c35raw!F:F, Table514[[#This Row],[bug type]])</f>
        <v>1</v>
      </c>
      <c r="D69" s="14" t="n">
        <v>1</v>
      </c>
      <c r="E69" s="14" t="s">
        <v>2269</v>
      </c>
      <c r="F69" s="14" t="s">
        <v>814</v>
      </c>
      <c r="G69" s="14" t="s">
        <v>2087</v>
      </c>
      <c r="H69" s="14" t="s">
        <v>1133</v>
      </c>
      <c r="I69" s="7" t="s">
        <v>2347</v>
      </c>
      <c r="J69" s="14" t="s">
        <v>2270</v>
      </c>
    </row>
    <row r="70" customFormat="false" ht="14.5" hidden="false" customHeight="false" outlineLevel="0" collapsed="false">
      <c r="A70" s="14" t="n">
        <v>123</v>
      </c>
      <c r="B70" s="14" t="n">
        <v>1</v>
      </c>
      <c r="C70" s="14" t="n">
        <f aca="false">COUNTIFS(c35raw!B:B, Table514[[#This Row],[ID]], c35raw!E:E, Table514[[#This Row],[function]],  c35raw!F:F, Table514[[#This Row],[bug type]])</f>
        <v>1</v>
      </c>
      <c r="D70" s="14" t="n">
        <v>2</v>
      </c>
      <c r="E70" s="14" t="s">
        <v>2271</v>
      </c>
      <c r="F70" s="14" t="s">
        <v>814</v>
      </c>
      <c r="G70" s="14" t="s">
        <v>2087</v>
      </c>
      <c r="H70" s="14" t="s">
        <v>2325</v>
      </c>
      <c r="I70" s="14"/>
      <c r="J70" s="14" t="s">
        <v>2272</v>
      </c>
    </row>
    <row r="71" customFormat="false" ht="14.5" hidden="false" customHeight="false" outlineLevel="0" collapsed="false">
      <c r="A71" s="14" t="n">
        <v>123</v>
      </c>
      <c r="B71" s="14" t="n">
        <v>3</v>
      </c>
      <c r="C71" s="14" t="n">
        <f aca="false">COUNTIFS(c35raw!B:B, Table514[[#This Row],[ID]], c35raw!E:E, Table514[[#This Row],[function]],  c35raw!F:F, Table514[[#This Row],[bug type]])</f>
        <v>1</v>
      </c>
      <c r="D71" s="14" t="n">
        <v>1</v>
      </c>
      <c r="E71" s="14" t="s">
        <v>2274</v>
      </c>
      <c r="F71" s="14" t="s">
        <v>814</v>
      </c>
      <c r="G71" s="14" t="s">
        <v>2087</v>
      </c>
      <c r="H71" s="14" t="s">
        <v>2033</v>
      </c>
      <c r="I71" s="14"/>
      <c r="J71" s="14" t="s">
        <v>2275</v>
      </c>
    </row>
    <row r="72" customFormat="false" ht="14.5" hidden="false" customHeight="false" outlineLevel="0" collapsed="false">
      <c r="A72" s="14" t="n">
        <v>143</v>
      </c>
      <c r="B72" s="14" t="n">
        <v>1</v>
      </c>
      <c r="C72" s="14" t="n">
        <f aca="false">COUNTIFS(c35raw!B:B, Table514[[#This Row],[ID]], c35raw!E:E, Table514[[#This Row],[function]],  c35raw!F:F, Table514[[#This Row],[bug type]])</f>
        <v>2</v>
      </c>
      <c r="D72" s="14" t="n">
        <v>1</v>
      </c>
      <c r="E72" s="14" t="s">
        <v>2277</v>
      </c>
      <c r="F72" s="5" t="s">
        <v>826</v>
      </c>
      <c r="G72" s="14" t="s">
        <v>2087</v>
      </c>
      <c r="H72" s="14" t="s">
        <v>2033</v>
      </c>
      <c r="I72" s="14"/>
      <c r="J72" s="14" t="s">
        <v>2278</v>
      </c>
    </row>
    <row r="73" customFormat="false" ht="14.5" hidden="false" customHeight="false" outlineLevel="0" collapsed="false">
      <c r="A73" s="14" t="n">
        <v>143</v>
      </c>
      <c r="B73" s="14" t="n">
        <v>1</v>
      </c>
      <c r="C73" s="14" t="n">
        <f aca="false">COUNTIFS(c35raw!B:B, Table514[[#This Row],[ID]], c35raw!E:E, Table514[[#This Row],[function]],  c35raw!F:F, Table514[[#This Row],[bug type]])</f>
        <v>2</v>
      </c>
      <c r="D73" s="14" t="n">
        <v>1</v>
      </c>
      <c r="E73" s="14" t="s">
        <v>2279</v>
      </c>
      <c r="F73" s="14" t="s">
        <v>826</v>
      </c>
      <c r="G73" s="14" t="s">
        <v>2087</v>
      </c>
      <c r="H73" s="14" t="s">
        <v>2325</v>
      </c>
      <c r="I73" s="14"/>
      <c r="J73" s="14" t="s">
        <v>2280</v>
      </c>
    </row>
    <row r="74" customFormat="false" ht="14.5" hidden="false" customHeight="false" outlineLevel="0" collapsed="false">
      <c r="A74" s="14" t="n">
        <v>143</v>
      </c>
      <c r="B74" s="14" t="n">
        <v>1</v>
      </c>
      <c r="C74" s="14" t="n">
        <f aca="false">COUNTIFS(c35raw!B:B, Table514[[#This Row],[ID]], c35raw!E:E, Table514[[#This Row],[function]],  c35raw!F:F, Table514[[#This Row],[bug type]])</f>
        <v>2</v>
      </c>
      <c r="D74" s="14" t="n">
        <v>2</v>
      </c>
      <c r="E74" s="14" t="s">
        <v>2281</v>
      </c>
      <c r="F74" s="14" t="s">
        <v>826</v>
      </c>
      <c r="G74" s="14" t="s">
        <v>2087</v>
      </c>
      <c r="H74" s="14" t="s">
        <v>2325</v>
      </c>
      <c r="I74" s="14"/>
      <c r="J74" s="14" t="s">
        <v>2282</v>
      </c>
    </row>
    <row r="75" customFormat="false" ht="14.5" hidden="false" customHeight="false" outlineLevel="0" collapsed="false">
      <c r="A75" s="14" t="n">
        <v>143</v>
      </c>
      <c r="B75" s="14" t="n">
        <v>2</v>
      </c>
      <c r="C75" s="14" t="n">
        <f aca="false">COUNTIFS(c35raw!B:B, Table514[[#This Row],[ID]], c35raw!E:E, Table514[[#This Row],[function]],  c35raw!F:F, Table514[[#This Row],[bug type]])</f>
        <v>1</v>
      </c>
      <c r="D75" s="14" t="n">
        <v>1</v>
      </c>
      <c r="E75" s="14" t="s">
        <v>1489</v>
      </c>
      <c r="F75" s="14" t="s">
        <v>826</v>
      </c>
      <c r="G75" s="14" t="s">
        <v>2087</v>
      </c>
      <c r="H75" s="14" t="s">
        <v>2033</v>
      </c>
      <c r="I75" s="14"/>
      <c r="J75" s="14" t="s">
        <v>2284</v>
      </c>
    </row>
    <row r="76" customFormat="false" ht="14.5" hidden="false" customHeight="false" outlineLevel="0" collapsed="false">
      <c r="A76" s="14" t="n">
        <v>143</v>
      </c>
      <c r="B76" s="14" t="n">
        <v>3</v>
      </c>
      <c r="C76" s="14" t="n">
        <f aca="false">COUNTIFS(c35raw!B:B, Table514[[#This Row],[ID]], c35raw!E:E, Table514[[#This Row],[function]],  c35raw!F:F, Table514[[#This Row],[bug type]])</f>
        <v>1</v>
      </c>
      <c r="D76" s="14" t="n">
        <v>1</v>
      </c>
      <c r="E76" s="14" t="s">
        <v>2289</v>
      </c>
      <c r="F76" s="14" t="s">
        <v>826</v>
      </c>
      <c r="G76" s="14" t="s">
        <v>2087</v>
      </c>
      <c r="H76" s="14" t="s">
        <v>2033</v>
      </c>
      <c r="I76" s="14"/>
      <c r="J76" s="14" t="s">
        <v>2290</v>
      </c>
    </row>
    <row r="77" customFormat="false" ht="14.5" hidden="false" customHeight="false" outlineLevel="0" collapsed="false">
      <c r="A77" s="14" t="n">
        <v>192</v>
      </c>
      <c r="B77" s="14" t="n">
        <v>1</v>
      </c>
      <c r="C77" s="14" t="n">
        <f aca="false">COUNTIFS(c35raw!B:B, Table514[[#This Row],[ID]], c35raw!E:E, Table514[[#This Row],[function]],  c35raw!F:F, Table514[[#This Row],[bug type]])</f>
        <v>1</v>
      </c>
      <c r="D77" s="14" t="n">
        <v>1</v>
      </c>
      <c r="E77" s="14" t="s">
        <v>2292</v>
      </c>
      <c r="F77" s="21" t="s">
        <v>852</v>
      </c>
      <c r="G77" s="14" t="s">
        <v>2087</v>
      </c>
      <c r="H77" s="14" t="s">
        <v>2033</v>
      </c>
      <c r="I77" s="14"/>
      <c r="J77" s="14" t="s">
        <v>2293</v>
      </c>
    </row>
    <row r="78" customFormat="false" ht="14.5" hidden="false" customHeight="false" outlineLevel="0" collapsed="false">
      <c r="A78" s="14" t="n">
        <v>192</v>
      </c>
      <c r="B78" s="14" t="n">
        <v>2</v>
      </c>
      <c r="C78" s="14" t="n">
        <f aca="false">COUNTIFS(c35raw!B:B, Table514[[#This Row],[ID]], c35raw!E:E, Table514[[#This Row],[function]],  c35raw!F:F, Table514[[#This Row],[bug type]])</f>
        <v>2</v>
      </c>
      <c r="D78" s="14" t="n">
        <v>1</v>
      </c>
      <c r="E78" s="14" t="s">
        <v>2295</v>
      </c>
      <c r="F78" s="21" t="s">
        <v>852</v>
      </c>
      <c r="G78" s="14" t="s">
        <v>2087</v>
      </c>
      <c r="H78" s="14" t="s">
        <v>2033</v>
      </c>
      <c r="I78" s="14"/>
      <c r="J78" s="14" t="s">
        <v>2296</v>
      </c>
    </row>
    <row r="79" customFormat="false" ht="14.5" hidden="false" customHeight="false" outlineLevel="0" collapsed="false">
      <c r="A79" s="14" t="n">
        <v>192</v>
      </c>
      <c r="B79" s="14" t="n">
        <v>2</v>
      </c>
      <c r="C79" s="14" t="n">
        <f aca="false">COUNTIFS(c35raw!B:B, Table514[[#This Row],[ID]], c35raw!E:E, Table514[[#This Row],[function]],  c35raw!F:F, Table514[[#This Row],[bug type]])</f>
        <v>2</v>
      </c>
      <c r="D79" s="14" t="n">
        <v>2</v>
      </c>
      <c r="E79" s="14" t="s">
        <v>2297</v>
      </c>
      <c r="F79" s="21" t="s">
        <v>852</v>
      </c>
      <c r="G79" s="14" t="s">
        <v>2087</v>
      </c>
      <c r="H79" s="14" t="s">
        <v>2005</v>
      </c>
      <c r="I79" s="14"/>
      <c r="J79" s="14" t="s">
        <v>2298</v>
      </c>
    </row>
  </sheetData>
  <hyperlinks>
    <hyperlink ref="I2" r:id="rId1" location="h-21-anyone-can-avoid-all-vether-transfer-fees-by-adding-their-address-to-the-vether-excludedaddresses-list" display="https://code4rena.com/reports/2021-04-vader/#h-21-anyone-can-avoid-all-vether-transfer-fees-by-adding-their-address-to-the-vether-excludedaddresses-list"/>
    <hyperlink ref="I3" r:id="rId2" location="m-13-init-function-can-be-called-by-everyone" display="https://code4rena.com/reports/2021-04-vader/#m-13-init-function-can-be-called-by-everyone"/>
    <hyperlink ref="I4" r:id="rId3" location="h-14-missing-access-restriction-on-lockunitsunlockunits" display="https://code4rena.com/reports/2021-04-vader/#h-14-missing-access-restriction-on-lockunitsunlockunits"/>
    <hyperlink ref="I14" r:id="rId4" location="l-01-emergencyhandler-not-checked--not-emitted" display="https://code4rena.com/reports/2021-06-gro/#l-01-emergencyhandler-not-checked--not-emitted"/>
    <hyperlink ref="I18" r:id="rId5" location="l-34-attacker-can-trigger-pool-sync-leading-to-user-fund-loss" display="https://code4rena.com/reports/2021-07-spartan/#l-34-attacker-can-trigger-pool-sync-leading-to-user-fund-loss"/>
    <hyperlink ref="I27" r:id="rId6" location="l-03-lack-of-input-validation-of-arrays" display="https://code4rena.com/reports/2021-08-notional/#l-03-lack-of-input-validation-of-arrays"/>
    <hyperlink ref="I28" r:id="rId7" location="h-04-access-restrictions-on-compoundtonotionalv2notionalcallback-can-be-bypassed" display="https://code4rena.com/reports/2021-08-notional/#h-04-access-restrictions-on-compoundtonotionalv2notionalcallback-can-be-bypassed"/>
    <hyperlink ref="I30" r:id="rId8" location="h-03-signature-replay-attacks-for-different-identities-nonce-on-wrong-party" display="https://code4rena.com/reports/2021-10-ambire/#h-03-signature-replay-attacks-for-different-identities-nonce-on-wrong-party"/>
    <hyperlink ref="I35" r:id="rId9" location="h-08-unable-to-claim-vesting-due-to-unbounded-timelock-loop" display="https://code4rena.com/reports/2021-11-bootfinance/#h-08-unable-to-claim-vesting-due-to-unbounded-timelock-loop"/>
    <hyperlink ref="I37" r:id="rId10" location="h-08-unable-to-claim-vesting-due-to-unbounded-timelock-loop" display="https://code4rena.com/reports/2021-11-bootfinance/#h-08-unable-to-claim-vesting-due-to-unbounded-timelock-loop"/>
    <hyperlink ref="I40" r:id="rId11" location="h-27-unrestricted-vestfor" display="https://code4rena.com/reports/2021-11-vader/#h-27-unrestricted-vestfor"/>
    <hyperlink ref="I45" r:id="rId12" location="h-03-malicious-market-creators-can-steal-tokens-from-unsuspecting-approved-reference-accounts" display="https://code4rena.com/reports/2022-01-insure/#h-03-malicious-market-creators-can-steal-tokens-from-unsuspecting-approved-reference-accounts"/>
    <hyperlink ref="I49" r:id="rId13" location="h-04-initial-pool-deposit-can-be-stolen" display="https://code4rena.com/reports/2022-01-insure/#h-04-initial-pool-deposit-can-be-stolen"/>
    <hyperlink ref="I50" r:id="rId14" location="m-02-owner-can-call-applycover-multiple-times-in-pooltemplatesol" display="https://code4rena.com/reports/2022-01-insure/#m-02-owner-can-call-applycover-multiple-times-in-pooltemplatesol"/>
    <hyperlink ref="I57" r:id="rId15" location="h-01-lack-of-access-control-on-assertgovernanceapproved-can-cause-funds-to-be-locked" display="https://code4rena.com/reports/2022-01-behodler/#h-01-lack-of-access-control-on-assertgovernanceapproved-can-cause-funds-to-be-locked"/>
    <hyperlink ref="I61" r:id="rId16" location="h-01-reliance-on-lifidatareceivingassetid-can-cause-loss-of-funds" display="https://code4rena.com/reports/2022-03-lifinance/#h-01-reliance-on-lifidatareceivingassetid-can-cause-loss-of-funds"/>
    <hyperlink ref="I69" r:id="rId17" location="h-01-user-can-forfeit-other-user-rewards" display="https://code4rena.com/reports/2022-05-aura/#h-01-user-can-forfeit-other-user-rewards"/>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8"/>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34"/>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E59" activeCellId="1" sqref="G14:I22 E59"/>
    </sheetView>
  </sheetViews>
  <sheetFormatPr defaultColWidth="8.4296875" defaultRowHeight="15" zeroHeight="false" outlineLevelRow="0" outlineLevelCol="0"/>
  <cols>
    <col collapsed="false" customWidth="true" hidden="false" outlineLevel="0" max="1" min="1" style="0" width="10.45"/>
    <col collapsed="false" customWidth="true" hidden="false" outlineLevel="0" max="2" min="2" style="0" width="8"/>
    <col collapsed="false" customWidth="true" hidden="false" outlineLevel="0" max="4" min="3" style="0" width="10.45"/>
    <col collapsed="false" customWidth="true" hidden="false" outlineLevel="0" max="5" min="5" style="0" width="15.72"/>
    <col collapsed="false" customWidth="true" hidden="false" outlineLevel="0" max="6" min="6" style="0" width="25.18"/>
    <col collapsed="false" customWidth="true" hidden="false" outlineLevel="0" max="9" min="7" style="0" width="10.45"/>
  </cols>
  <sheetData>
    <row r="1" customFormat="false" ht="14.5" hidden="false" customHeight="false" outlineLevel="0" collapsed="false">
      <c r="A1" s="12" t="s">
        <v>1161</v>
      </c>
      <c r="B1" s="12" t="s">
        <v>2348</v>
      </c>
      <c r="C1" s="12" t="s">
        <v>2084</v>
      </c>
      <c r="D1" s="12" t="s">
        <v>1163</v>
      </c>
      <c r="E1" s="12" t="s">
        <v>2085</v>
      </c>
      <c r="F1" s="12" t="s">
        <v>1165</v>
      </c>
      <c r="G1" s="12" t="s">
        <v>1168</v>
      </c>
      <c r="H1" s="12" t="s">
        <v>2349</v>
      </c>
      <c r="I1" s="12" t="s">
        <v>2350</v>
      </c>
    </row>
    <row r="2" customFormat="false" ht="14.5" hidden="true" customHeight="false" outlineLevel="0" collapsed="false">
      <c r="A2" s="14" t="s">
        <v>895</v>
      </c>
      <c r="B2" s="14" t="n">
        <v>3</v>
      </c>
      <c r="C2" s="14" t="n">
        <v>1</v>
      </c>
      <c r="D2" s="14" t="n">
        <v>1</v>
      </c>
      <c r="E2" s="14" t="s">
        <v>2351</v>
      </c>
      <c r="F2" s="14" t="s">
        <v>2352</v>
      </c>
      <c r="G2" s="14" t="s">
        <v>2353</v>
      </c>
      <c r="H2" s="14"/>
      <c r="I2" s="14"/>
    </row>
    <row r="3" customFormat="false" ht="14.5" hidden="false" customHeight="false" outlineLevel="0" collapsed="false">
      <c r="A3" s="14" t="s">
        <v>895</v>
      </c>
      <c r="B3" s="14" t="n">
        <v>3</v>
      </c>
      <c r="C3" s="14" t="n">
        <v>1</v>
      </c>
      <c r="D3" s="14" t="n">
        <v>2</v>
      </c>
      <c r="E3" s="14" t="s">
        <v>2354</v>
      </c>
      <c r="F3" s="14" t="s">
        <v>2355</v>
      </c>
      <c r="G3" s="14" t="s">
        <v>2356</v>
      </c>
      <c r="H3" s="14"/>
      <c r="I3" s="14"/>
    </row>
    <row r="4" customFormat="false" ht="14.5" hidden="false" customHeight="false" outlineLevel="0" collapsed="false">
      <c r="A4" s="14" t="s">
        <v>895</v>
      </c>
      <c r="B4" s="14" t="n">
        <v>3</v>
      </c>
      <c r="C4" s="14" t="n">
        <v>1</v>
      </c>
      <c r="D4" s="14" t="n">
        <v>1</v>
      </c>
      <c r="E4" s="14" t="s">
        <v>2357</v>
      </c>
      <c r="F4" s="14" t="s">
        <v>2358</v>
      </c>
      <c r="G4" s="14" t="s">
        <v>2359</v>
      </c>
      <c r="H4" s="14"/>
      <c r="I4" s="14"/>
    </row>
    <row r="5" customFormat="false" ht="14.5" hidden="false" customHeight="false" outlineLevel="0" collapsed="false">
      <c r="A5" s="14" t="s">
        <v>895</v>
      </c>
      <c r="B5" s="14" t="n">
        <v>3</v>
      </c>
      <c r="C5" s="14" t="n">
        <v>1</v>
      </c>
      <c r="D5" s="14" t="n">
        <v>2</v>
      </c>
      <c r="E5" s="14" t="s">
        <v>9</v>
      </c>
      <c r="F5" s="14" t="s">
        <v>11</v>
      </c>
      <c r="G5" s="14" t="s">
        <v>14</v>
      </c>
      <c r="H5" s="14"/>
      <c r="I5" s="14"/>
    </row>
    <row r="6" customFormat="false" ht="14.5" hidden="false" customHeight="false" outlineLevel="0" collapsed="false">
      <c r="A6" s="14" t="s">
        <v>900</v>
      </c>
      <c r="B6" s="14" t="n">
        <v>3</v>
      </c>
      <c r="C6" s="14" t="n">
        <v>2</v>
      </c>
      <c r="D6" s="14" t="n">
        <v>1</v>
      </c>
      <c r="E6" s="14" t="s">
        <v>2357</v>
      </c>
      <c r="F6" s="14" t="s">
        <v>2360</v>
      </c>
      <c r="G6" s="14" t="s">
        <v>2361</v>
      </c>
      <c r="H6" s="14"/>
      <c r="I6" s="14"/>
    </row>
    <row r="7" customFormat="false" ht="14.5" hidden="false" customHeight="false" outlineLevel="0" collapsed="false">
      <c r="A7" s="14" t="s">
        <v>900</v>
      </c>
      <c r="B7" s="14" t="n">
        <v>3</v>
      </c>
      <c r="C7" s="14" t="n">
        <v>2</v>
      </c>
      <c r="D7" s="14" t="n">
        <v>2</v>
      </c>
      <c r="E7" s="14" t="s">
        <v>9</v>
      </c>
      <c r="F7" s="14" t="s">
        <v>2360</v>
      </c>
      <c r="G7" s="14" t="s">
        <v>2362</v>
      </c>
      <c r="H7" s="14"/>
      <c r="I7" s="14"/>
    </row>
    <row r="8" customFormat="false" ht="14.5" hidden="true" customHeight="false" outlineLevel="0" collapsed="false">
      <c r="A8" s="14" t="s">
        <v>905</v>
      </c>
      <c r="B8" s="14" t="n">
        <v>3</v>
      </c>
      <c r="C8" s="14" t="n">
        <v>3</v>
      </c>
      <c r="D8" s="14" t="n">
        <v>1</v>
      </c>
      <c r="E8" s="14" t="s">
        <v>2363</v>
      </c>
      <c r="F8" s="14" t="s">
        <v>2352</v>
      </c>
      <c r="G8" s="14" t="s">
        <v>2364</v>
      </c>
      <c r="H8" s="14"/>
      <c r="I8" s="14"/>
    </row>
    <row r="9" customFormat="false" ht="14.5" hidden="true" customHeight="false" outlineLevel="0" collapsed="false">
      <c r="A9" s="14" t="s">
        <v>905</v>
      </c>
      <c r="B9" s="14" t="n">
        <v>3</v>
      </c>
      <c r="C9" s="14" t="n">
        <v>3</v>
      </c>
      <c r="D9" s="14" t="n">
        <v>2</v>
      </c>
      <c r="E9" s="14" t="s">
        <v>2365</v>
      </c>
      <c r="F9" s="14" t="s">
        <v>2352</v>
      </c>
      <c r="G9" s="14" t="s">
        <v>2366</v>
      </c>
      <c r="H9" s="14"/>
      <c r="I9" s="14"/>
    </row>
    <row r="10" customFormat="false" ht="14.5" hidden="true" customHeight="false" outlineLevel="0" collapsed="false">
      <c r="A10" s="14" t="s">
        <v>905</v>
      </c>
      <c r="B10" s="14" t="n">
        <v>3</v>
      </c>
      <c r="C10" s="14" t="n">
        <v>3</v>
      </c>
      <c r="D10" s="14" t="n">
        <v>1</v>
      </c>
      <c r="E10" s="14" t="s">
        <v>2367</v>
      </c>
      <c r="F10" s="14" t="s">
        <v>1557</v>
      </c>
      <c r="G10" s="14" t="s">
        <v>2368</v>
      </c>
      <c r="H10" s="14"/>
      <c r="I10" s="14"/>
    </row>
    <row r="11" customFormat="false" ht="14.5" hidden="true" customHeight="false" outlineLevel="0" collapsed="false">
      <c r="A11" s="14" t="s">
        <v>905</v>
      </c>
      <c r="B11" s="14" t="n">
        <v>3</v>
      </c>
      <c r="C11" s="14" t="n">
        <v>3</v>
      </c>
      <c r="D11" s="14" t="n">
        <v>2</v>
      </c>
      <c r="E11" s="14" t="s">
        <v>2357</v>
      </c>
      <c r="F11" s="14" t="s">
        <v>1855</v>
      </c>
      <c r="G11" s="14" t="s">
        <v>2369</v>
      </c>
      <c r="H11" s="14"/>
      <c r="I11" s="14"/>
    </row>
    <row r="12" customFormat="false" ht="14.5" hidden="true" customHeight="false" outlineLevel="0" collapsed="false">
      <c r="A12" s="14" t="s">
        <v>905</v>
      </c>
      <c r="B12" s="14" t="n">
        <v>3</v>
      </c>
      <c r="C12" s="14" t="n">
        <v>3</v>
      </c>
      <c r="D12" s="14" t="n">
        <v>3</v>
      </c>
      <c r="E12" s="14" t="s">
        <v>2370</v>
      </c>
      <c r="F12" s="14" t="s">
        <v>1855</v>
      </c>
      <c r="G12" s="14" t="s">
        <v>2371</v>
      </c>
      <c r="H12" s="14"/>
      <c r="I12" s="14"/>
    </row>
    <row r="13" customFormat="false" ht="14.5" hidden="false" customHeight="false" outlineLevel="0" collapsed="false">
      <c r="A13" s="14" t="s">
        <v>905</v>
      </c>
      <c r="B13" s="14" t="n">
        <v>3</v>
      </c>
      <c r="C13" s="14" t="n">
        <v>3</v>
      </c>
      <c r="D13" s="14" t="n">
        <v>4</v>
      </c>
      <c r="E13" s="14" t="s">
        <v>9</v>
      </c>
      <c r="F13" s="14" t="s">
        <v>2360</v>
      </c>
      <c r="G13" s="14" t="s">
        <v>2372</v>
      </c>
      <c r="H13" s="14"/>
      <c r="I13" s="14"/>
    </row>
    <row r="14" customFormat="false" ht="14.5" hidden="true" customHeight="false" outlineLevel="0" collapsed="false">
      <c r="A14" s="14" t="s">
        <v>2373</v>
      </c>
      <c r="B14" s="14" t="n">
        <v>10</v>
      </c>
      <c r="C14" s="14" t="n">
        <v>2</v>
      </c>
      <c r="D14" s="14" t="n">
        <v>1</v>
      </c>
      <c r="E14" s="14" t="s">
        <v>1303</v>
      </c>
      <c r="F14" s="14" t="s">
        <v>1406</v>
      </c>
      <c r="G14" s="14" t="s">
        <v>2374</v>
      </c>
      <c r="H14" s="14"/>
      <c r="I14" s="14"/>
    </row>
    <row r="15" customFormat="false" ht="14.5" hidden="true" customHeight="false" outlineLevel="0" collapsed="false">
      <c r="A15" s="14" t="s">
        <v>2373</v>
      </c>
      <c r="B15" s="14" t="n">
        <v>10</v>
      </c>
      <c r="C15" s="14" t="n">
        <v>2</v>
      </c>
      <c r="D15" s="14" t="n">
        <v>2</v>
      </c>
      <c r="E15" s="14" t="s">
        <v>2375</v>
      </c>
      <c r="F15" s="14" t="s">
        <v>1406</v>
      </c>
      <c r="G15" s="14" t="s">
        <v>2376</v>
      </c>
      <c r="H15" s="14"/>
      <c r="I15" s="14"/>
    </row>
    <row r="16" customFormat="false" ht="14.5" hidden="true" customHeight="false" outlineLevel="0" collapsed="false">
      <c r="A16" s="14" t="s">
        <v>2377</v>
      </c>
      <c r="B16" s="14" t="n">
        <v>10</v>
      </c>
      <c r="C16" s="14" t="n">
        <v>3</v>
      </c>
      <c r="D16" s="14" t="n">
        <v>1</v>
      </c>
      <c r="E16" s="14" t="s">
        <v>1303</v>
      </c>
      <c r="F16" s="14" t="s">
        <v>1406</v>
      </c>
      <c r="G16" s="14" t="s">
        <v>2378</v>
      </c>
      <c r="H16" s="14"/>
      <c r="I16" s="14"/>
    </row>
    <row r="17" customFormat="false" ht="14.5" hidden="false" customHeight="false" outlineLevel="0" collapsed="false">
      <c r="A17" s="14" t="s">
        <v>2377</v>
      </c>
      <c r="B17" s="14" t="n">
        <v>10</v>
      </c>
      <c r="C17" s="14" t="n">
        <v>3</v>
      </c>
      <c r="D17" s="14" t="n">
        <v>2</v>
      </c>
      <c r="E17" s="14" t="s">
        <v>2379</v>
      </c>
      <c r="F17" s="14" t="s">
        <v>1899</v>
      </c>
      <c r="G17" s="14" t="s">
        <v>2380</v>
      </c>
      <c r="H17" s="14"/>
      <c r="I17" s="14"/>
    </row>
    <row r="18" customFormat="false" ht="14.5" hidden="true" customHeight="false" outlineLevel="0" collapsed="false">
      <c r="A18" s="14" t="s">
        <v>2377</v>
      </c>
      <c r="B18" s="14" t="n">
        <v>10</v>
      </c>
      <c r="C18" s="14" t="n">
        <v>3</v>
      </c>
      <c r="D18" s="14" t="n">
        <v>3</v>
      </c>
      <c r="E18" s="14" t="s">
        <v>2381</v>
      </c>
      <c r="F18" s="14" t="s">
        <v>2382</v>
      </c>
      <c r="G18" s="14" t="s">
        <v>2383</v>
      </c>
      <c r="H18" s="14"/>
      <c r="I18" s="14"/>
    </row>
    <row r="19" customFormat="false" ht="14.5" hidden="true" customHeight="false" outlineLevel="0" collapsed="false">
      <c r="A19" s="14" t="s">
        <v>2122</v>
      </c>
      <c r="B19" s="14" t="n">
        <v>19</v>
      </c>
      <c r="C19" s="14" t="n">
        <v>1</v>
      </c>
      <c r="D19" s="14" t="n">
        <v>1</v>
      </c>
      <c r="E19" s="14" t="s">
        <v>1957</v>
      </c>
      <c r="F19" s="14" t="s">
        <v>1406</v>
      </c>
      <c r="G19" s="14" t="s">
        <v>2384</v>
      </c>
      <c r="H19" s="14"/>
      <c r="I19" s="14"/>
    </row>
    <row r="20" customFormat="false" ht="14.5" hidden="true" customHeight="false" outlineLevel="0" collapsed="false">
      <c r="A20" s="14" t="s">
        <v>2122</v>
      </c>
      <c r="B20" s="14" t="n">
        <v>19</v>
      </c>
      <c r="C20" s="14" t="n">
        <v>1</v>
      </c>
      <c r="D20" s="14" t="n">
        <v>2</v>
      </c>
      <c r="E20" s="14" t="s">
        <v>2385</v>
      </c>
      <c r="F20" s="14" t="s">
        <v>2382</v>
      </c>
      <c r="G20" s="14" t="s">
        <v>2386</v>
      </c>
      <c r="H20" s="14"/>
      <c r="I20" s="14"/>
    </row>
    <row r="21" customFormat="false" ht="14.5" hidden="true" customHeight="false" outlineLevel="0" collapsed="false">
      <c r="A21" s="14" t="s">
        <v>2127</v>
      </c>
      <c r="B21" s="14" t="n">
        <v>19</v>
      </c>
      <c r="C21" s="14" t="n">
        <v>2</v>
      </c>
      <c r="D21" s="14" t="n">
        <v>1</v>
      </c>
      <c r="E21" s="14" t="s">
        <v>2125</v>
      </c>
      <c r="F21" s="14" t="s">
        <v>1406</v>
      </c>
      <c r="G21" s="14" t="s">
        <v>2387</v>
      </c>
      <c r="H21" s="14"/>
      <c r="I21" s="14"/>
    </row>
    <row r="22" customFormat="false" ht="14.5" hidden="true" customHeight="false" outlineLevel="0" collapsed="false">
      <c r="A22" s="14" t="s">
        <v>2388</v>
      </c>
      <c r="B22" s="14" t="n">
        <v>19</v>
      </c>
      <c r="C22" s="14" t="n">
        <v>3</v>
      </c>
      <c r="D22" s="14" t="n">
        <v>1</v>
      </c>
      <c r="E22" s="14" t="s">
        <v>1957</v>
      </c>
      <c r="F22" s="14" t="s">
        <v>1406</v>
      </c>
      <c r="G22" s="14" t="s">
        <v>2389</v>
      </c>
      <c r="H22" s="14"/>
      <c r="I22" s="14"/>
    </row>
    <row r="23" customFormat="false" ht="14.5" hidden="true" customHeight="false" outlineLevel="0" collapsed="false">
      <c r="A23" s="14" t="s">
        <v>2388</v>
      </c>
      <c r="B23" s="14" t="n">
        <v>19</v>
      </c>
      <c r="C23" s="14" t="n">
        <v>3</v>
      </c>
      <c r="D23" s="14" t="n">
        <v>2</v>
      </c>
      <c r="E23" s="14" t="s">
        <v>2385</v>
      </c>
      <c r="F23" s="14" t="s">
        <v>2390</v>
      </c>
      <c r="G23" s="14" t="s">
        <v>2391</v>
      </c>
      <c r="H23" s="14"/>
      <c r="I23" s="14"/>
    </row>
    <row r="24" customFormat="false" ht="14.5" hidden="true" customHeight="false" outlineLevel="0" collapsed="false">
      <c r="A24" s="14" t="s">
        <v>2392</v>
      </c>
      <c r="B24" s="14" t="n">
        <v>24</v>
      </c>
      <c r="C24" s="14" t="n">
        <v>1</v>
      </c>
      <c r="D24" s="14" t="n">
        <v>1</v>
      </c>
      <c r="E24" s="14" t="s">
        <v>1288</v>
      </c>
      <c r="F24" s="14" t="s">
        <v>1406</v>
      </c>
      <c r="G24" s="14" t="s">
        <v>2393</v>
      </c>
      <c r="H24" s="14"/>
      <c r="I24" s="14"/>
    </row>
    <row r="25" customFormat="false" ht="14.5" hidden="false" customHeight="false" outlineLevel="0" collapsed="false">
      <c r="A25" s="14" t="s">
        <v>2394</v>
      </c>
      <c r="B25" s="14" t="n">
        <v>24</v>
      </c>
      <c r="C25" s="14" t="n">
        <v>2</v>
      </c>
      <c r="D25" s="14" t="n">
        <v>1</v>
      </c>
      <c r="E25" s="14" t="s">
        <v>2395</v>
      </c>
      <c r="F25" s="14" t="s">
        <v>2396</v>
      </c>
      <c r="G25" s="14" t="s">
        <v>2397</v>
      </c>
      <c r="H25" s="14"/>
      <c r="I25" s="14"/>
    </row>
    <row r="26" customFormat="false" ht="14.5" hidden="true" customHeight="false" outlineLevel="0" collapsed="false">
      <c r="A26" s="14" t="s">
        <v>2398</v>
      </c>
      <c r="B26" s="14" t="n">
        <v>24</v>
      </c>
      <c r="C26" s="14" t="n">
        <v>3</v>
      </c>
      <c r="D26" s="14" t="n">
        <v>1</v>
      </c>
      <c r="E26" s="14" t="s">
        <v>1288</v>
      </c>
      <c r="F26" s="14" t="s">
        <v>1406</v>
      </c>
      <c r="G26" s="14" t="s">
        <v>2399</v>
      </c>
      <c r="H26" s="14"/>
      <c r="I26" s="14"/>
    </row>
    <row r="27" customFormat="false" ht="14.5" hidden="true" customHeight="false" outlineLevel="0" collapsed="false">
      <c r="A27" s="14" t="s">
        <v>2398</v>
      </c>
      <c r="B27" s="14" t="n">
        <v>24</v>
      </c>
      <c r="C27" s="14" t="n">
        <v>3</v>
      </c>
      <c r="D27" s="14" t="n">
        <v>2</v>
      </c>
      <c r="E27" s="14" t="s">
        <v>1294</v>
      </c>
      <c r="F27" s="14" t="s">
        <v>1406</v>
      </c>
      <c r="G27" s="14" t="s">
        <v>2400</v>
      </c>
      <c r="H27" s="14"/>
      <c r="I27" s="14"/>
    </row>
    <row r="28" customFormat="false" ht="14.5" hidden="true" customHeight="false" outlineLevel="0" collapsed="false">
      <c r="A28" s="14" t="s">
        <v>1369</v>
      </c>
      <c r="B28" s="14" t="n">
        <v>25</v>
      </c>
      <c r="C28" s="14" t="n">
        <v>1</v>
      </c>
      <c r="D28" s="14" t="n">
        <v>1</v>
      </c>
      <c r="E28" s="14" t="s">
        <v>1382</v>
      </c>
      <c r="F28" s="14" t="s">
        <v>1811</v>
      </c>
      <c r="G28" s="14" t="s">
        <v>2401</v>
      </c>
      <c r="H28" s="14"/>
      <c r="I28" s="14"/>
    </row>
    <row r="29" customFormat="false" ht="14.5" hidden="false" customHeight="false" outlineLevel="0" collapsed="false">
      <c r="A29" s="14" t="s">
        <v>2402</v>
      </c>
      <c r="B29" s="14" t="n">
        <v>25</v>
      </c>
      <c r="C29" s="14" t="n">
        <v>2</v>
      </c>
      <c r="D29" s="14" t="n">
        <v>1</v>
      </c>
      <c r="E29" s="14" t="s">
        <v>1382</v>
      </c>
      <c r="F29" s="14" t="s">
        <v>2403</v>
      </c>
      <c r="G29" s="14" t="s">
        <v>2404</v>
      </c>
      <c r="H29" s="14"/>
      <c r="I29" s="14"/>
    </row>
    <row r="30" customFormat="false" ht="14.5" hidden="true" customHeight="false" outlineLevel="0" collapsed="false">
      <c r="A30" s="14" t="s">
        <v>1388</v>
      </c>
      <c r="B30" s="14" t="n">
        <v>25</v>
      </c>
      <c r="C30" s="14" t="n">
        <v>3</v>
      </c>
      <c r="D30" s="14" t="n">
        <v>1</v>
      </c>
      <c r="E30" s="14" t="s">
        <v>1382</v>
      </c>
      <c r="F30" s="14" t="s">
        <v>2405</v>
      </c>
      <c r="G30" s="14" t="s">
        <v>2406</v>
      </c>
      <c r="H30" s="14"/>
      <c r="I30" s="14"/>
    </row>
    <row r="31" customFormat="false" ht="14.5" hidden="false" customHeight="false" outlineLevel="0" collapsed="false">
      <c r="A31" s="14" t="s">
        <v>2407</v>
      </c>
      <c r="B31" s="14" t="n">
        <v>35</v>
      </c>
      <c r="C31" s="14" t="n">
        <v>2</v>
      </c>
      <c r="D31" s="14" t="n">
        <v>1</v>
      </c>
      <c r="E31" s="14" t="s">
        <v>2408</v>
      </c>
      <c r="F31" s="14" t="s">
        <v>2409</v>
      </c>
      <c r="G31" s="14" t="s">
        <v>2410</v>
      </c>
      <c r="H31" s="14"/>
      <c r="I31" s="14"/>
    </row>
    <row r="32" customFormat="false" ht="14.5" hidden="false" customHeight="false" outlineLevel="0" collapsed="false">
      <c r="A32" s="14" t="s">
        <v>2407</v>
      </c>
      <c r="B32" s="14" t="n">
        <v>35</v>
      </c>
      <c r="C32" s="14" t="n">
        <v>2</v>
      </c>
      <c r="D32" s="14" t="n">
        <v>2</v>
      </c>
      <c r="E32" s="14" t="s">
        <v>2411</v>
      </c>
      <c r="F32" s="14" t="s">
        <v>2409</v>
      </c>
      <c r="G32" s="14" t="s">
        <v>2412</v>
      </c>
      <c r="H32" s="14"/>
      <c r="I32" s="14"/>
    </row>
    <row r="33" customFormat="false" ht="14.5" hidden="false" customHeight="false" outlineLevel="0" collapsed="false">
      <c r="A33" s="14" t="s">
        <v>2407</v>
      </c>
      <c r="B33" s="14" t="n">
        <v>35</v>
      </c>
      <c r="C33" s="14" t="n">
        <v>2</v>
      </c>
      <c r="D33" s="14" t="n">
        <v>3</v>
      </c>
      <c r="E33" s="14" t="s">
        <v>2413</v>
      </c>
      <c r="F33" s="14" t="s">
        <v>2409</v>
      </c>
      <c r="G33" s="14" t="s">
        <v>2414</v>
      </c>
      <c r="H33" s="14"/>
      <c r="I33" s="14"/>
    </row>
    <row r="34" customFormat="false" ht="14.5" hidden="false" customHeight="false" outlineLevel="0" collapsed="false">
      <c r="A34" s="14" t="s">
        <v>2415</v>
      </c>
      <c r="B34" s="14" t="n">
        <v>35</v>
      </c>
      <c r="C34" s="14" t="n">
        <v>3</v>
      </c>
      <c r="D34" s="14" t="n">
        <v>1</v>
      </c>
      <c r="E34" s="14" t="s">
        <v>2408</v>
      </c>
      <c r="F34" s="14" t="s">
        <v>2416</v>
      </c>
      <c r="G34" s="14" t="s">
        <v>2417</v>
      </c>
      <c r="H34" s="14"/>
      <c r="I34" s="14"/>
    </row>
    <row r="35" customFormat="false" ht="14.5" hidden="false" customHeight="false" outlineLevel="0" collapsed="false">
      <c r="A35" s="14" t="s">
        <v>2415</v>
      </c>
      <c r="B35" s="14" t="n">
        <v>35</v>
      </c>
      <c r="C35" s="14" t="n">
        <v>3</v>
      </c>
      <c r="D35" s="14" t="n">
        <v>2</v>
      </c>
      <c r="E35" s="14" t="s">
        <v>2411</v>
      </c>
      <c r="F35" s="14" t="s">
        <v>2416</v>
      </c>
      <c r="G35" s="14" t="s">
        <v>2418</v>
      </c>
      <c r="H35" s="14"/>
      <c r="I35" s="14"/>
    </row>
    <row r="36" customFormat="false" ht="14.5" hidden="true" customHeight="false" outlineLevel="0" collapsed="false">
      <c r="A36" s="14" t="s">
        <v>2419</v>
      </c>
      <c r="B36" s="14" t="n">
        <v>36</v>
      </c>
      <c r="C36" s="14" t="n">
        <v>1</v>
      </c>
      <c r="D36" s="14" t="n">
        <v>1</v>
      </c>
      <c r="E36" s="14" t="s">
        <v>2420</v>
      </c>
      <c r="F36" s="14" t="s">
        <v>1557</v>
      </c>
      <c r="G36" s="14" t="s">
        <v>2421</v>
      </c>
      <c r="H36" s="14"/>
      <c r="I36" s="14"/>
    </row>
    <row r="37" customFormat="false" ht="14.5" hidden="true" customHeight="false" outlineLevel="0" collapsed="false">
      <c r="A37" s="14" t="s">
        <v>2422</v>
      </c>
      <c r="B37" s="14" t="n">
        <v>36</v>
      </c>
      <c r="C37" s="14" t="n">
        <v>3</v>
      </c>
      <c r="D37" s="14" t="n">
        <v>1</v>
      </c>
      <c r="E37" s="14" t="s">
        <v>2423</v>
      </c>
      <c r="F37" s="14" t="s">
        <v>1406</v>
      </c>
      <c r="G37" s="14" t="s">
        <v>2424</v>
      </c>
      <c r="H37" s="14"/>
      <c r="I37" s="14"/>
    </row>
    <row r="38" customFormat="false" ht="14.5" hidden="true" customHeight="false" outlineLevel="0" collapsed="false">
      <c r="A38" s="14" t="s">
        <v>2422</v>
      </c>
      <c r="B38" s="14" t="n">
        <v>36</v>
      </c>
      <c r="C38" s="14" t="n">
        <v>3</v>
      </c>
      <c r="D38" s="14" t="n">
        <v>2</v>
      </c>
      <c r="E38" s="14" t="s">
        <v>2423</v>
      </c>
      <c r="F38" s="14" t="s">
        <v>1811</v>
      </c>
      <c r="G38" s="14" t="s">
        <v>2425</v>
      </c>
      <c r="H38" s="14"/>
      <c r="I38" s="14"/>
    </row>
    <row r="39" customFormat="false" ht="14.5" hidden="false" customHeight="false" outlineLevel="0" collapsed="false">
      <c r="A39" s="14" t="s">
        <v>2422</v>
      </c>
      <c r="B39" s="14" t="n">
        <v>36</v>
      </c>
      <c r="C39" s="14" t="n">
        <v>3</v>
      </c>
      <c r="D39" s="14" t="n">
        <v>3</v>
      </c>
      <c r="E39" s="14" t="s">
        <v>2426</v>
      </c>
      <c r="F39" s="14" t="s">
        <v>2427</v>
      </c>
      <c r="G39" s="14" t="s">
        <v>2428</v>
      </c>
      <c r="H39" s="14"/>
      <c r="I39" s="14"/>
    </row>
    <row r="40" customFormat="false" ht="14.5" hidden="false" customHeight="false" outlineLevel="0" collapsed="false">
      <c r="A40" s="14" t="s">
        <v>2422</v>
      </c>
      <c r="B40" s="14" t="n">
        <v>36</v>
      </c>
      <c r="C40" s="14" t="n">
        <v>3</v>
      </c>
      <c r="D40" s="14" t="n">
        <v>4</v>
      </c>
      <c r="E40" s="14" t="s">
        <v>1179</v>
      </c>
      <c r="F40" s="14" t="s">
        <v>2429</v>
      </c>
      <c r="G40" s="14" t="s">
        <v>2430</v>
      </c>
      <c r="H40" s="14"/>
      <c r="I40" s="14"/>
    </row>
    <row r="41" customFormat="false" ht="14.5" hidden="false" customHeight="false" outlineLevel="0" collapsed="false">
      <c r="A41" s="14" t="s">
        <v>990</v>
      </c>
      <c r="B41" s="14" t="n">
        <v>42</v>
      </c>
      <c r="C41" s="14" t="n">
        <v>1</v>
      </c>
      <c r="D41" s="14" t="n">
        <v>1</v>
      </c>
      <c r="E41" s="14" t="s">
        <v>2431</v>
      </c>
      <c r="F41" s="14" t="s">
        <v>2432</v>
      </c>
      <c r="G41" s="14" t="s">
        <v>2433</v>
      </c>
      <c r="H41" s="14"/>
      <c r="I41" s="14"/>
    </row>
    <row r="42" customFormat="false" ht="14.5" hidden="true" customHeight="false" outlineLevel="0" collapsed="false">
      <c r="A42" s="14" t="s">
        <v>990</v>
      </c>
      <c r="B42" s="14" t="n">
        <v>42</v>
      </c>
      <c r="C42" s="14" t="n">
        <v>1</v>
      </c>
      <c r="D42" s="14" t="n">
        <v>2</v>
      </c>
      <c r="E42" s="14" t="s">
        <v>2434</v>
      </c>
      <c r="F42" s="14" t="s">
        <v>1855</v>
      </c>
      <c r="G42" s="14" t="s">
        <v>2435</v>
      </c>
      <c r="H42" s="14"/>
      <c r="I42" s="14"/>
    </row>
    <row r="43" customFormat="false" ht="14.5" hidden="true" customHeight="false" outlineLevel="0" collapsed="false">
      <c r="A43" s="14" t="s">
        <v>990</v>
      </c>
      <c r="B43" s="14" t="n">
        <v>42</v>
      </c>
      <c r="C43" s="14" t="n">
        <v>1</v>
      </c>
      <c r="D43" s="14" t="n">
        <v>3</v>
      </c>
      <c r="E43" s="14" t="s">
        <v>991</v>
      </c>
      <c r="F43" s="14" t="s">
        <v>1493</v>
      </c>
      <c r="G43" s="14" t="s">
        <v>2436</v>
      </c>
      <c r="H43" s="14"/>
      <c r="I43" s="14"/>
    </row>
    <row r="44" customFormat="false" ht="14.5" hidden="false" customHeight="false" outlineLevel="0" collapsed="false">
      <c r="A44" s="14" t="s">
        <v>990</v>
      </c>
      <c r="B44" s="14" t="n">
        <v>42</v>
      </c>
      <c r="C44" s="14" t="n">
        <v>1</v>
      </c>
      <c r="D44" s="14" t="n">
        <v>4</v>
      </c>
      <c r="E44" s="14" t="s">
        <v>995</v>
      </c>
      <c r="F44" s="14" t="s">
        <v>2437</v>
      </c>
      <c r="G44" s="14" t="s">
        <v>2438</v>
      </c>
      <c r="H44" s="14"/>
      <c r="I44" s="14"/>
    </row>
    <row r="45" customFormat="false" ht="14.5" hidden="false" customHeight="false" outlineLevel="0" collapsed="false">
      <c r="A45" s="14" t="s">
        <v>990</v>
      </c>
      <c r="B45" s="14" t="n">
        <v>42</v>
      </c>
      <c r="C45" s="14" t="n">
        <v>1</v>
      </c>
      <c r="D45" s="14" t="n">
        <v>1</v>
      </c>
      <c r="E45" s="14" t="s">
        <v>2439</v>
      </c>
      <c r="F45" s="14" t="s">
        <v>2440</v>
      </c>
      <c r="G45" s="14" t="s">
        <v>2441</v>
      </c>
      <c r="H45" s="14"/>
      <c r="I45" s="14"/>
    </row>
    <row r="46" customFormat="false" ht="14.5" hidden="true" customHeight="false" outlineLevel="0" collapsed="false">
      <c r="A46" s="14" t="s">
        <v>990</v>
      </c>
      <c r="B46" s="14" t="n">
        <v>42</v>
      </c>
      <c r="C46" s="14" t="n">
        <v>1</v>
      </c>
      <c r="D46" s="14" t="n">
        <v>2</v>
      </c>
      <c r="E46" s="14" t="s">
        <v>2442</v>
      </c>
      <c r="F46" s="14" t="s">
        <v>1493</v>
      </c>
      <c r="G46" s="14" t="s">
        <v>2443</v>
      </c>
      <c r="H46" s="14"/>
      <c r="I46" s="14"/>
    </row>
    <row r="47" customFormat="false" ht="14.5" hidden="true" customHeight="false" outlineLevel="0" collapsed="false">
      <c r="A47" s="14" t="s">
        <v>990</v>
      </c>
      <c r="B47" s="14" t="n">
        <v>42</v>
      </c>
      <c r="C47" s="14" t="n">
        <v>1</v>
      </c>
      <c r="D47" s="14" t="n">
        <v>3</v>
      </c>
      <c r="E47" s="14" t="s">
        <v>2442</v>
      </c>
      <c r="F47" s="14" t="s">
        <v>2444</v>
      </c>
      <c r="G47" s="14" t="s">
        <v>2445</v>
      </c>
      <c r="H47" s="14"/>
      <c r="I47" s="14"/>
    </row>
    <row r="48" customFormat="false" ht="14.5" hidden="false" customHeight="false" outlineLevel="0" collapsed="false">
      <c r="A48" s="14" t="s">
        <v>990</v>
      </c>
      <c r="B48" s="14" t="n">
        <v>42</v>
      </c>
      <c r="C48" s="14" t="n">
        <v>1</v>
      </c>
      <c r="D48" s="14" t="n">
        <v>4</v>
      </c>
      <c r="E48" s="14" t="s">
        <v>2442</v>
      </c>
      <c r="F48" s="14" t="s">
        <v>2446</v>
      </c>
      <c r="G48" s="14" t="s">
        <v>2447</v>
      </c>
      <c r="H48" s="14"/>
      <c r="I48" s="14"/>
    </row>
    <row r="49" customFormat="false" ht="14.5" hidden="true" customHeight="false" outlineLevel="0" collapsed="false">
      <c r="A49" s="14" t="s">
        <v>1003</v>
      </c>
      <c r="B49" s="14" t="n">
        <v>42</v>
      </c>
      <c r="C49" s="14" t="n">
        <v>2</v>
      </c>
      <c r="D49" s="14" t="n">
        <v>1</v>
      </c>
      <c r="E49" s="14" t="s">
        <v>2431</v>
      </c>
      <c r="F49" s="14" t="s">
        <v>1811</v>
      </c>
      <c r="G49" s="14" t="s">
        <v>2448</v>
      </c>
      <c r="H49" s="14"/>
      <c r="I49" s="14"/>
    </row>
    <row r="50" customFormat="false" ht="14.5" hidden="true" customHeight="false" outlineLevel="0" collapsed="false">
      <c r="A50" s="14" t="s">
        <v>1003</v>
      </c>
      <c r="B50" s="14" t="n">
        <v>42</v>
      </c>
      <c r="C50" s="14" t="n">
        <v>2</v>
      </c>
      <c r="D50" s="14" t="n">
        <v>1</v>
      </c>
      <c r="E50" s="14" t="s">
        <v>2439</v>
      </c>
      <c r="F50" s="14" t="s">
        <v>1811</v>
      </c>
      <c r="G50" s="14" t="s">
        <v>2449</v>
      </c>
      <c r="H50" s="14"/>
      <c r="I50" s="14"/>
    </row>
    <row r="51" customFormat="false" ht="14.5" hidden="false" customHeight="false" outlineLevel="0" collapsed="false">
      <c r="A51" s="14" t="s">
        <v>1008</v>
      </c>
      <c r="B51" s="14" t="n">
        <v>42</v>
      </c>
      <c r="C51" s="14" t="n">
        <v>3</v>
      </c>
      <c r="D51" s="14" t="n">
        <v>1</v>
      </c>
      <c r="E51" s="14" t="s">
        <v>2431</v>
      </c>
      <c r="F51" s="14" t="s">
        <v>2360</v>
      </c>
      <c r="G51" s="14" t="s">
        <v>2450</v>
      </c>
      <c r="H51" s="14"/>
      <c r="I51" s="14"/>
    </row>
    <row r="52" customFormat="false" ht="14.5" hidden="true" customHeight="false" outlineLevel="0" collapsed="false">
      <c r="A52" s="14" t="s">
        <v>1008</v>
      </c>
      <c r="B52" s="14" t="n">
        <v>42</v>
      </c>
      <c r="C52" s="14" t="n">
        <v>3</v>
      </c>
      <c r="D52" s="14" t="n">
        <v>2</v>
      </c>
      <c r="E52" s="14" t="s">
        <v>991</v>
      </c>
      <c r="F52" s="14" t="s">
        <v>1901</v>
      </c>
      <c r="G52" s="14" t="s">
        <v>2451</v>
      </c>
      <c r="H52" s="14"/>
      <c r="I52" s="14"/>
    </row>
    <row r="53" customFormat="false" ht="14.5" hidden="false" customHeight="false" outlineLevel="0" collapsed="false">
      <c r="A53" s="14" t="s">
        <v>1008</v>
      </c>
      <c r="B53" s="14" t="n">
        <v>42</v>
      </c>
      <c r="C53" s="14" t="n">
        <v>3</v>
      </c>
      <c r="D53" s="14" t="n">
        <v>1</v>
      </c>
      <c r="E53" s="14" t="s">
        <v>2439</v>
      </c>
      <c r="F53" s="14" t="s">
        <v>2360</v>
      </c>
      <c r="G53" s="14" t="s">
        <v>2452</v>
      </c>
      <c r="H53" s="14"/>
      <c r="I53" s="14"/>
    </row>
    <row r="54" customFormat="false" ht="14.5" hidden="true" customHeight="false" outlineLevel="0" collapsed="false">
      <c r="A54" s="14" t="s">
        <v>1008</v>
      </c>
      <c r="B54" s="14" t="n">
        <v>42</v>
      </c>
      <c r="C54" s="14" t="n">
        <v>3</v>
      </c>
      <c r="D54" s="14" t="n">
        <v>2</v>
      </c>
      <c r="E54" s="14" t="s">
        <v>2442</v>
      </c>
      <c r="F54" s="14" t="s">
        <v>1901</v>
      </c>
      <c r="G54" s="14" t="s">
        <v>2453</v>
      </c>
      <c r="H54" s="14"/>
      <c r="I54" s="14"/>
    </row>
    <row r="55" customFormat="false" ht="14.5" hidden="true" customHeight="false" outlineLevel="0" collapsed="false">
      <c r="A55" s="14" t="s">
        <v>2454</v>
      </c>
      <c r="B55" s="14" t="n">
        <v>54</v>
      </c>
      <c r="C55" s="14" t="n">
        <v>1</v>
      </c>
      <c r="D55" s="14" t="n">
        <v>1</v>
      </c>
      <c r="E55" s="14" t="s">
        <v>2455</v>
      </c>
      <c r="F55" s="14" t="s">
        <v>2456</v>
      </c>
      <c r="G55" s="14" t="s">
        <v>2457</v>
      </c>
      <c r="H55" s="14"/>
      <c r="I55" s="14"/>
    </row>
    <row r="56" customFormat="false" ht="14.5" hidden="false" customHeight="false" outlineLevel="0" collapsed="false">
      <c r="A56" s="14" t="s">
        <v>2454</v>
      </c>
      <c r="B56" s="14" t="n">
        <v>54</v>
      </c>
      <c r="C56" s="14" t="n">
        <v>1</v>
      </c>
      <c r="D56" s="14" t="n">
        <v>1</v>
      </c>
      <c r="E56" s="14" t="s">
        <v>1551</v>
      </c>
      <c r="F56" s="14" t="s">
        <v>2360</v>
      </c>
      <c r="G56" s="14" t="s">
        <v>2458</v>
      </c>
      <c r="H56" s="14"/>
      <c r="I56" s="14"/>
    </row>
    <row r="57" customFormat="false" ht="14.5" hidden="false" customHeight="false" outlineLevel="0" collapsed="false">
      <c r="A57" s="14" t="s">
        <v>2454</v>
      </c>
      <c r="B57" s="14" t="n">
        <v>54</v>
      </c>
      <c r="C57" s="14" t="n">
        <v>1</v>
      </c>
      <c r="D57" s="14" t="n">
        <v>2</v>
      </c>
      <c r="E57" s="14" t="s">
        <v>2459</v>
      </c>
      <c r="F57" s="14" t="s">
        <v>2360</v>
      </c>
      <c r="G57" s="14" t="s">
        <v>2460</v>
      </c>
      <c r="H57" s="14"/>
      <c r="I57" s="14"/>
    </row>
    <row r="58" customFormat="false" ht="14.5" hidden="false" customHeight="false" outlineLevel="0" collapsed="false">
      <c r="A58" s="14" t="s">
        <v>2461</v>
      </c>
      <c r="B58" s="14" t="n">
        <v>54</v>
      </c>
      <c r="C58" s="14" t="n">
        <v>2</v>
      </c>
      <c r="D58" s="14" t="n">
        <v>2</v>
      </c>
      <c r="E58" s="14" t="s">
        <v>2462</v>
      </c>
      <c r="F58" s="14" t="s">
        <v>2463</v>
      </c>
      <c r="G58" s="14" t="s">
        <v>2464</v>
      </c>
      <c r="H58" s="14"/>
      <c r="I58" s="14"/>
    </row>
    <row r="59" customFormat="false" ht="14.5" hidden="false" customHeight="false" outlineLevel="0" collapsed="false">
      <c r="A59" s="14" t="s">
        <v>2461</v>
      </c>
      <c r="B59" s="14" t="n">
        <v>54</v>
      </c>
      <c r="C59" s="14" t="n">
        <v>2</v>
      </c>
      <c r="D59" s="14" t="n">
        <v>3</v>
      </c>
      <c r="E59" s="14" t="s">
        <v>15</v>
      </c>
      <c r="F59" s="14" t="s">
        <v>17</v>
      </c>
      <c r="G59" s="14" t="s">
        <v>20</v>
      </c>
      <c r="H59" s="14"/>
      <c r="I59" s="14"/>
    </row>
    <row r="60" customFormat="false" ht="14.5" hidden="false" customHeight="false" outlineLevel="0" collapsed="false">
      <c r="A60" s="14" t="s">
        <v>2461</v>
      </c>
      <c r="B60" s="14" t="n">
        <v>54</v>
      </c>
      <c r="C60" s="14" t="n">
        <v>2</v>
      </c>
      <c r="D60" s="14" t="n">
        <v>1</v>
      </c>
      <c r="E60" s="14" t="s">
        <v>2459</v>
      </c>
      <c r="F60" s="14" t="s">
        <v>2360</v>
      </c>
      <c r="G60" s="14" t="s">
        <v>2465</v>
      </c>
      <c r="H60" s="14"/>
      <c r="I60" s="14"/>
    </row>
    <row r="61" customFormat="false" ht="14.5" hidden="false" customHeight="false" outlineLevel="0" collapsed="false">
      <c r="A61" s="14" t="s">
        <v>2461</v>
      </c>
      <c r="B61" s="14" t="n">
        <v>54</v>
      </c>
      <c r="C61" s="14" t="n">
        <v>2</v>
      </c>
      <c r="D61" s="14" t="n">
        <v>2</v>
      </c>
      <c r="E61" s="14" t="s">
        <v>1551</v>
      </c>
      <c r="F61" s="14" t="s">
        <v>2360</v>
      </c>
      <c r="G61" s="14" t="s">
        <v>2466</v>
      </c>
      <c r="H61" s="14"/>
      <c r="I61" s="14"/>
    </row>
    <row r="62" customFormat="false" ht="14.5" hidden="false" customHeight="false" outlineLevel="0" collapsed="false">
      <c r="A62" s="14" t="s">
        <v>2461</v>
      </c>
      <c r="B62" s="14" t="n">
        <v>54</v>
      </c>
      <c r="C62" s="14" t="n">
        <v>2</v>
      </c>
      <c r="D62" s="14" t="n">
        <v>3</v>
      </c>
      <c r="E62" s="14" t="s">
        <v>1990</v>
      </c>
      <c r="F62" s="14" t="s">
        <v>2360</v>
      </c>
      <c r="G62" s="14" t="s">
        <v>2467</v>
      </c>
      <c r="H62" s="14"/>
      <c r="I62" s="14"/>
    </row>
    <row r="63" customFormat="false" ht="14.5" hidden="true" customHeight="false" outlineLevel="0" collapsed="false">
      <c r="A63" s="14" t="s">
        <v>2468</v>
      </c>
      <c r="B63" s="14" t="n">
        <v>54</v>
      </c>
      <c r="C63" s="14" t="n">
        <v>3</v>
      </c>
      <c r="D63" s="14" t="n">
        <v>1</v>
      </c>
      <c r="E63" s="14" t="s">
        <v>2459</v>
      </c>
      <c r="F63" s="14" t="s">
        <v>1557</v>
      </c>
      <c r="G63" s="14" t="s">
        <v>2469</v>
      </c>
      <c r="H63" s="14"/>
      <c r="I63" s="14"/>
    </row>
    <row r="64" customFormat="false" ht="14.5" hidden="true" customHeight="false" outlineLevel="0" collapsed="false">
      <c r="A64" s="14" t="s">
        <v>2468</v>
      </c>
      <c r="B64" s="14" t="n">
        <v>54</v>
      </c>
      <c r="C64" s="14" t="n">
        <v>3</v>
      </c>
      <c r="D64" s="14" t="n">
        <v>2</v>
      </c>
      <c r="E64" s="14" t="s">
        <v>1551</v>
      </c>
      <c r="F64" s="14" t="s">
        <v>1557</v>
      </c>
      <c r="G64" s="14" t="s">
        <v>2470</v>
      </c>
      <c r="H64" s="14"/>
      <c r="I64" s="14"/>
    </row>
    <row r="65" customFormat="false" ht="14.5" hidden="true" customHeight="false" outlineLevel="0" collapsed="false">
      <c r="A65" s="14" t="s">
        <v>2468</v>
      </c>
      <c r="B65" s="14" t="n">
        <v>54</v>
      </c>
      <c r="C65" s="14" t="n">
        <v>3</v>
      </c>
      <c r="D65" s="14" t="n">
        <v>3</v>
      </c>
      <c r="E65" s="14" t="s">
        <v>1990</v>
      </c>
      <c r="F65" s="14" t="s">
        <v>1557</v>
      </c>
      <c r="G65" s="14" t="s">
        <v>2471</v>
      </c>
      <c r="H65" s="14"/>
      <c r="I65" s="14"/>
    </row>
    <row r="66" customFormat="false" ht="14.5" hidden="true" customHeight="false" outlineLevel="0" collapsed="false">
      <c r="A66" s="14" t="s">
        <v>2468</v>
      </c>
      <c r="B66" s="14" t="n">
        <v>54</v>
      </c>
      <c r="C66" s="14" t="n">
        <v>3</v>
      </c>
      <c r="D66" s="14" t="n">
        <v>4</v>
      </c>
      <c r="E66" s="14" t="s">
        <v>2472</v>
      </c>
      <c r="F66" s="14" t="s">
        <v>1557</v>
      </c>
      <c r="G66" s="14" t="s">
        <v>2473</v>
      </c>
      <c r="H66" s="14"/>
      <c r="I66" s="14"/>
    </row>
    <row r="67" customFormat="false" ht="14.5" hidden="false" customHeight="false" outlineLevel="0" collapsed="false">
      <c r="A67" s="14" t="s">
        <v>2474</v>
      </c>
      <c r="B67" s="14" t="n">
        <v>58</v>
      </c>
      <c r="C67" s="14" t="n">
        <v>1</v>
      </c>
      <c r="D67" s="14" t="n">
        <v>1</v>
      </c>
      <c r="E67" s="14" t="s">
        <v>2475</v>
      </c>
      <c r="F67" s="14" t="s">
        <v>2360</v>
      </c>
      <c r="G67" s="14" t="s">
        <v>2476</v>
      </c>
      <c r="H67" s="14"/>
      <c r="I67" s="14"/>
    </row>
    <row r="68" customFormat="false" ht="14.5" hidden="false" customHeight="false" outlineLevel="0" collapsed="false">
      <c r="A68" s="14" t="s">
        <v>2474</v>
      </c>
      <c r="B68" s="14" t="n">
        <v>58</v>
      </c>
      <c r="C68" s="14" t="n">
        <v>1</v>
      </c>
      <c r="D68" s="14" t="n">
        <v>2</v>
      </c>
      <c r="E68" s="14" t="s">
        <v>2477</v>
      </c>
      <c r="F68" s="14" t="s">
        <v>2360</v>
      </c>
      <c r="G68" s="14" t="s">
        <v>2478</v>
      </c>
      <c r="H68" s="14"/>
      <c r="I68" s="14"/>
    </row>
    <row r="69" customFormat="false" ht="14.5" hidden="false" customHeight="false" outlineLevel="0" collapsed="false">
      <c r="A69" s="14" t="s">
        <v>2474</v>
      </c>
      <c r="B69" s="14" t="n">
        <v>58</v>
      </c>
      <c r="C69" s="14" t="n">
        <v>1</v>
      </c>
      <c r="D69" s="14" t="n">
        <v>3</v>
      </c>
      <c r="E69" s="14" t="s">
        <v>2479</v>
      </c>
      <c r="F69" s="14" t="s">
        <v>2480</v>
      </c>
      <c r="G69" s="14" t="s">
        <v>2481</v>
      </c>
      <c r="H69" s="14"/>
      <c r="I69" s="14"/>
    </row>
    <row r="70" customFormat="false" ht="14.5" hidden="false" customHeight="false" outlineLevel="0" collapsed="false">
      <c r="A70" s="14" t="s">
        <v>1666</v>
      </c>
      <c r="B70" s="14" t="n">
        <v>58</v>
      </c>
      <c r="C70" s="14" t="n">
        <v>2</v>
      </c>
      <c r="D70" s="14" t="n">
        <v>1</v>
      </c>
      <c r="E70" s="14" t="s">
        <v>2479</v>
      </c>
      <c r="F70" s="14" t="s">
        <v>2360</v>
      </c>
      <c r="G70" s="14" t="s">
        <v>2482</v>
      </c>
      <c r="H70" s="14"/>
      <c r="I70" s="14"/>
    </row>
    <row r="71" customFormat="false" ht="14.5" hidden="false" customHeight="false" outlineLevel="0" collapsed="false">
      <c r="A71" s="14" t="s">
        <v>1666</v>
      </c>
      <c r="B71" s="14" t="n">
        <v>58</v>
      </c>
      <c r="C71" s="14" t="n">
        <v>2</v>
      </c>
      <c r="D71" s="14" t="n">
        <v>2</v>
      </c>
      <c r="E71" s="14" t="s">
        <v>2475</v>
      </c>
      <c r="F71" s="14" t="s">
        <v>2480</v>
      </c>
      <c r="G71" s="14" t="s">
        <v>2483</v>
      </c>
      <c r="H71" s="14"/>
      <c r="I71" s="14"/>
    </row>
    <row r="72" customFormat="false" ht="14.5" hidden="false" customHeight="false" outlineLevel="0" collapsed="false">
      <c r="A72" s="14" t="s">
        <v>1666</v>
      </c>
      <c r="B72" s="14" t="n">
        <v>58</v>
      </c>
      <c r="C72" s="14" t="n">
        <v>2</v>
      </c>
      <c r="D72" s="14" t="n">
        <v>3</v>
      </c>
      <c r="E72" s="14" t="s">
        <v>2477</v>
      </c>
      <c r="F72" s="14" t="s">
        <v>2480</v>
      </c>
      <c r="G72" s="14" t="s">
        <v>2484</v>
      </c>
      <c r="H72" s="14"/>
      <c r="I72" s="14"/>
    </row>
    <row r="73" customFormat="false" ht="14.5" hidden="false" customHeight="false" outlineLevel="0" collapsed="false">
      <c r="A73" s="14" t="s">
        <v>2485</v>
      </c>
      <c r="B73" s="14" t="n">
        <v>58</v>
      </c>
      <c r="C73" s="14" t="n">
        <v>3</v>
      </c>
      <c r="D73" s="14" t="n">
        <v>1</v>
      </c>
      <c r="E73" s="14" t="s">
        <v>2475</v>
      </c>
      <c r="F73" s="14" t="s">
        <v>2486</v>
      </c>
      <c r="G73" s="14" t="s">
        <v>2487</v>
      </c>
      <c r="H73" s="14"/>
      <c r="I73" s="14"/>
    </row>
    <row r="74" customFormat="false" ht="14.5" hidden="false" customHeight="false" outlineLevel="0" collapsed="false">
      <c r="A74" s="14" t="s">
        <v>2485</v>
      </c>
      <c r="B74" s="14" t="n">
        <v>58</v>
      </c>
      <c r="C74" s="14" t="n">
        <v>3</v>
      </c>
      <c r="D74" s="14" t="n">
        <v>2</v>
      </c>
      <c r="E74" s="14" t="s">
        <v>2477</v>
      </c>
      <c r="F74" s="14" t="s">
        <v>2486</v>
      </c>
      <c r="G74" s="14" t="s">
        <v>2488</v>
      </c>
      <c r="H74" s="14"/>
      <c r="I74" s="14"/>
    </row>
    <row r="75" customFormat="false" ht="14.5" hidden="false" customHeight="false" outlineLevel="0" collapsed="false">
      <c r="A75" s="14" t="s">
        <v>2485</v>
      </c>
      <c r="B75" s="14" t="n">
        <v>58</v>
      </c>
      <c r="C75" s="14" t="n">
        <v>3</v>
      </c>
      <c r="D75" s="14" t="n">
        <v>3</v>
      </c>
      <c r="E75" s="14" t="s">
        <v>2475</v>
      </c>
      <c r="F75" s="14" t="s">
        <v>2489</v>
      </c>
      <c r="G75" s="14" t="s">
        <v>2490</v>
      </c>
      <c r="H75" s="14"/>
      <c r="I75" s="14"/>
    </row>
    <row r="76" customFormat="false" ht="14.5" hidden="false" customHeight="false" outlineLevel="0" collapsed="false">
      <c r="A76" s="14" t="s">
        <v>2485</v>
      </c>
      <c r="B76" s="14" t="n">
        <v>58</v>
      </c>
      <c r="C76" s="14" t="n">
        <v>3</v>
      </c>
      <c r="D76" s="14" t="n">
        <v>4</v>
      </c>
      <c r="E76" s="14" t="s">
        <v>2477</v>
      </c>
      <c r="F76" s="14" t="s">
        <v>2489</v>
      </c>
      <c r="G76" s="14" t="s">
        <v>2491</v>
      </c>
      <c r="H76" s="14"/>
      <c r="I76" s="14"/>
    </row>
    <row r="77" customFormat="false" ht="14.5" hidden="true" customHeight="false" outlineLevel="0" collapsed="false">
      <c r="A77" s="14" t="s">
        <v>2492</v>
      </c>
      <c r="B77" s="14" t="n">
        <v>65</v>
      </c>
      <c r="C77" s="14" t="n">
        <v>1</v>
      </c>
      <c r="D77" s="14" t="n">
        <v>1</v>
      </c>
      <c r="E77" s="14" t="s">
        <v>2423</v>
      </c>
      <c r="F77" s="14" t="s">
        <v>1811</v>
      </c>
      <c r="G77" s="14" t="s">
        <v>2493</v>
      </c>
      <c r="H77" s="14"/>
      <c r="I77" s="14"/>
    </row>
    <row r="78" customFormat="false" ht="14.5" hidden="true" customHeight="false" outlineLevel="0" collapsed="false">
      <c r="A78" s="14" t="s">
        <v>2492</v>
      </c>
      <c r="B78" s="14" t="n">
        <v>65</v>
      </c>
      <c r="C78" s="14" t="n">
        <v>1</v>
      </c>
      <c r="D78" s="14" t="n">
        <v>2</v>
      </c>
      <c r="E78" s="14" t="s">
        <v>2494</v>
      </c>
      <c r="F78" s="14" t="s">
        <v>1393</v>
      </c>
      <c r="G78" s="14" t="s">
        <v>2495</v>
      </c>
      <c r="H78" s="14"/>
      <c r="I78" s="14"/>
    </row>
    <row r="79" customFormat="false" ht="14.5" hidden="true" customHeight="false" outlineLevel="0" collapsed="false">
      <c r="A79" s="14" t="s">
        <v>2492</v>
      </c>
      <c r="B79" s="14" t="n">
        <v>65</v>
      </c>
      <c r="C79" s="14" t="n">
        <v>1</v>
      </c>
      <c r="D79" s="14" t="n">
        <v>3</v>
      </c>
      <c r="E79" s="14" t="s">
        <v>2496</v>
      </c>
      <c r="F79" s="14" t="s">
        <v>1393</v>
      </c>
      <c r="G79" s="14" t="s">
        <v>2497</v>
      </c>
      <c r="H79" s="14"/>
      <c r="I79" s="14"/>
    </row>
    <row r="80" customFormat="false" ht="14.5" hidden="false" customHeight="false" outlineLevel="0" collapsed="false">
      <c r="A80" s="14" t="s">
        <v>2492</v>
      </c>
      <c r="B80" s="14" t="n">
        <v>65</v>
      </c>
      <c r="C80" s="14" t="n">
        <v>1</v>
      </c>
      <c r="D80" s="14" t="n">
        <v>4</v>
      </c>
      <c r="E80" s="14" t="s">
        <v>2498</v>
      </c>
      <c r="F80" s="14" t="s">
        <v>2499</v>
      </c>
      <c r="G80" s="14" t="s">
        <v>2500</v>
      </c>
      <c r="H80" s="14"/>
      <c r="I80" s="14"/>
    </row>
    <row r="81" customFormat="false" ht="14.5" hidden="true" customHeight="false" outlineLevel="0" collapsed="false">
      <c r="A81" s="14" t="s">
        <v>2501</v>
      </c>
      <c r="B81" s="14" t="n">
        <v>65</v>
      </c>
      <c r="C81" s="14" t="n">
        <v>2</v>
      </c>
      <c r="D81" s="14" t="n">
        <v>1</v>
      </c>
      <c r="E81" s="14" t="s">
        <v>2494</v>
      </c>
      <c r="F81" s="14" t="s">
        <v>1406</v>
      </c>
      <c r="G81" s="14" t="s">
        <v>2502</v>
      </c>
      <c r="H81" s="14"/>
      <c r="I81" s="14"/>
    </row>
    <row r="82" customFormat="false" ht="14.5" hidden="false" customHeight="false" outlineLevel="0" collapsed="false">
      <c r="A82" s="14" t="s">
        <v>2501</v>
      </c>
      <c r="B82" s="14" t="n">
        <v>65</v>
      </c>
      <c r="C82" s="14" t="n">
        <v>2</v>
      </c>
      <c r="D82" s="14" t="n">
        <v>2</v>
      </c>
      <c r="E82" s="14" t="s">
        <v>2503</v>
      </c>
      <c r="F82" s="14" t="s">
        <v>2504</v>
      </c>
      <c r="G82" s="14" t="s">
        <v>2505</v>
      </c>
      <c r="H82" s="14"/>
      <c r="I82" s="14"/>
    </row>
    <row r="83" customFormat="false" ht="14.5" hidden="false" customHeight="false" outlineLevel="0" collapsed="false">
      <c r="A83" s="14" t="s">
        <v>2501</v>
      </c>
      <c r="B83" s="14" t="n">
        <v>65</v>
      </c>
      <c r="C83" s="14" t="n">
        <v>2</v>
      </c>
      <c r="D83" s="14" t="n">
        <v>3</v>
      </c>
      <c r="E83" s="14" t="s">
        <v>2423</v>
      </c>
      <c r="F83" s="14" t="s">
        <v>2506</v>
      </c>
      <c r="G83" s="14" t="s">
        <v>2507</v>
      </c>
      <c r="H83" s="14"/>
      <c r="I83" s="14"/>
    </row>
    <row r="84" customFormat="false" ht="14.5" hidden="false" customHeight="false" outlineLevel="0" collapsed="false">
      <c r="A84" s="14" t="s">
        <v>2508</v>
      </c>
      <c r="B84" s="14" t="n">
        <v>65</v>
      </c>
      <c r="C84" s="14" t="n">
        <v>3</v>
      </c>
      <c r="D84" s="14" t="n">
        <v>1</v>
      </c>
      <c r="E84" s="14" t="s">
        <v>2503</v>
      </c>
      <c r="F84" s="14" t="s">
        <v>2509</v>
      </c>
      <c r="G84" s="14" t="s">
        <v>2510</v>
      </c>
      <c r="H84" s="14"/>
      <c r="I84" s="14"/>
    </row>
    <row r="85" customFormat="false" ht="14.5" hidden="false" customHeight="false" outlineLevel="0" collapsed="false">
      <c r="A85" s="14" t="s">
        <v>2508</v>
      </c>
      <c r="B85" s="14" t="n">
        <v>65</v>
      </c>
      <c r="C85" s="14" t="n">
        <v>3</v>
      </c>
      <c r="D85" s="14" t="n">
        <v>2</v>
      </c>
      <c r="E85" s="14" t="s">
        <v>2423</v>
      </c>
      <c r="F85" s="14" t="s">
        <v>2511</v>
      </c>
      <c r="G85" s="14" t="s">
        <v>2512</v>
      </c>
      <c r="H85" s="14"/>
      <c r="I85" s="14"/>
    </row>
    <row r="86" customFormat="false" ht="14.5" hidden="false" customHeight="false" outlineLevel="0" collapsed="false">
      <c r="A86" s="14" t="s">
        <v>2508</v>
      </c>
      <c r="B86" s="14" t="n">
        <v>65</v>
      </c>
      <c r="C86" s="14" t="n">
        <v>3</v>
      </c>
      <c r="D86" s="14" t="n">
        <v>3</v>
      </c>
      <c r="E86" s="14" t="s">
        <v>2498</v>
      </c>
      <c r="F86" s="14" t="s">
        <v>2513</v>
      </c>
      <c r="G86" s="14" t="s">
        <v>2514</v>
      </c>
      <c r="H86" s="14"/>
      <c r="I86" s="14"/>
    </row>
    <row r="87" customFormat="false" ht="14.5" hidden="true" customHeight="false" outlineLevel="0" collapsed="false">
      <c r="A87" s="14" t="s">
        <v>2508</v>
      </c>
      <c r="B87" s="14" t="n">
        <v>65</v>
      </c>
      <c r="C87" s="14" t="n">
        <v>3</v>
      </c>
      <c r="D87" s="14" t="n">
        <v>4</v>
      </c>
      <c r="E87" s="14" t="s">
        <v>2423</v>
      </c>
      <c r="F87" s="14" t="s">
        <v>2515</v>
      </c>
      <c r="G87" s="14" t="s">
        <v>2516</v>
      </c>
      <c r="H87" s="14"/>
      <c r="I87" s="14"/>
    </row>
    <row r="88" customFormat="false" ht="14.5" hidden="false" customHeight="false" outlineLevel="0" collapsed="false">
      <c r="A88" s="14" t="s">
        <v>2508</v>
      </c>
      <c r="B88" s="14" t="n">
        <v>65</v>
      </c>
      <c r="C88" s="14" t="n">
        <v>3</v>
      </c>
      <c r="D88" s="14" t="n">
        <v>5</v>
      </c>
      <c r="E88" s="14" t="s">
        <v>2517</v>
      </c>
      <c r="F88" s="14" t="s">
        <v>2518</v>
      </c>
      <c r="G88" s="14" t="s">
        <v>2519</v>
      </c>
      <c r="H88" s="14"/>
      <c r="I88" s="14"/>
    </row>
    <row r="89" customFormat="false" ht="14.5" hidden="true" customHeight="false" outlineLevel="0" collapsed="false">
      <c r="A89" s="14" t="s">
        <v>2520</v>
      </c>
      <c r="B89" s="14" t="n">
        <v>68</v>
      </c>
      <c r="C89" s="14" t="n">
        <v>1</v>
      </c>
      <c r="D89" s="14" t="n">
        <v>1</v>
      </c>
      <c r="E89" s="14" t="s">
        <v>2521</v>
      </c>
      <c r="F89" s="14" t="s">
        <v>1557</v>
      </c>
      <c r="G89" s="14" t="s">
        <v>2522</v>
      </c>
      <c r="H89" s="14"/>
      <c r="I89" s="14"/>
    </row>
    <row r="90" customFormat="false" ht="14.5" hidden="true" customHeight="false" outlineLevel="0" collapsed="false">
      <c r="A90" s="14" t="s">
        <v>2520</v>
      </c>
      <c r="B90" s="14" t="n">
        <v>68</v>
      </c>
      <c r="C90" s="14" t="n">
        <v>1</v>
      </c>
      <c r="D90" s="14" t="n">
        <v>2</v>
      </c>
      <c r="E90" s="14" t="s">
        <v>2523</v>
      </c>
      <c r="F90" s="14" t="s">
        <v>2456</v>
      </c>
      <c r="G90" s="14" t="s">
        <v>2524</v>
      </c>
      <c r="H90" s="14"/>
      <c r="I90" s="14"/>
    </row>
    <row r="91" customFormat="false" ht="14.5" hidden="true" customHeight="false" outlineLevel="0" collapsed="false">
      <c r="A91" s="14" t="s">
        <v>2520</v>
      </c>
      <c r="B91" s="14" t="n">
        <v>68</v>
      </c>
      <c r="C91" s="14" t="n">
        <v>1</v>
      </c>
      <c r="D91" s="14" t="n">
        <v>3</v>
      </c>
      <c r="E91" s="14" t="s">
        <v>2523</v>
      </c>
      <c r="F91" s="14" t="s">
        <v>2525</v>
      </c>
      <c r="G91" s="14" t="s">
        <v>2526</v>
      </c>
      <c r="H91" s="14"/>
      <c r="I91" s="14"/>
    </row>
    <row r="92" customFormat="false" ht="14.5" hidden="true" customHeight="false" outlineLevel="0" collapsed="false">
      <c r="A92" s="14" t="s">
        <v>2527</v>
      </c>
      <c r="B92" s="14" t="n">
        <v>68</v>
      </c>
      <c r="C92" s="14" t="n">
        <v>2</v>
      </c>
      <c r="D92" s="14" t="n">
        <v>1</v>
      </c>
      <c r="E92" s="14" t="s">
        <v>2521</v>
      </c>
      <c r="F92" s="14" t="s">
        <v>1406</v>
      </c>
      <c r="G92" s="14" t="s">
        <v>2528</v>
      </c>
      <c r="H92" s="14"/>
      <c r="I92" s="14"/>
    </row>
    <row r="93" customFormat="false" ht="14.5" hidden="true" customHeight="false" outlineLevel="0" collapsed="false">
      <c r="A93" s="14" t="s">
        <v>2527</v>
      </c>
      <c r="B93" s="14" t="n">
        <v>68</v>
      </c>
      <c r="C93" s="14" t="n">
        <v>2</v>
      </c>
      <c r="D93" s="14" t="n">
        <v>2</v>
      </c>
      <c r="E93" s="14" t="s">
        <v>2523</v>
      </c>
      <c r="F93" s="14" t="s">
        <v>2382</v>
      </c>
      <c r="G93" s="14" t="s">
        <v>2529</v>
      </c>
      <c r="H93" s="14"/>
      <c r="I93" s="14"/>
    </row>
    <row r="94" customFormat="false" ht="14.5" hidden="false" customHeight="false" outlineLevel="0" collapsed="false">
      <c r="A94" s="14" t="s">
        <v>2530</v>
      </c>
      <c r="B94" s="14" t="n">
        <v>68</v>
      </c>
      <c r="C94" s="14" t="n">
        <v>3</v>
      </c>
      <c r="D94" s="14" t="n">
        <v>1</v>
      </c>
      <c r="E94" s="14" t="s">
        <v>2521</v>
      </c>
      <c r="F94" s="14" t="s">
        <v>2531</v>
      </c>
      <c r="G94" s="14" t="s">
        <v>2532</v>
      </c>
      <c r="H94" s="14"/>
      <c r="I94" s="14"/>
    </row>
    <row r="95" customFormat="false" ht="14.5" hidden="true" customHeight="false" outlineLevel="0" collapsed="false">
      <c r="A95" s="14" t="s">
        <v>2530</v>
      </c>
      <c r="B95" s="14" t="n">
        <v>68</v>
      </c>
      <c r="C95" s="14" t="n">
        <v>3</v>
      </c>
      <c r="D95" s="14" t="n">
        <v>2</v>
      </c>
      <c r="E95" s="14" t="s">
        <v>2523</v>
      </c>
      <c r="F95" s="14" t="s">
        <v>2533</v>
      </c>
      <c r="G95" s="14" t="s">
        <v>2534</v>
      </c>
      <c r="H95" s="14"/>
      <c r="I95" s="14"/>
    </row>
    <row r="96" customFormat="false" ht="14.5" hidden="false" customHeight="false" outlineLevel="0" collapsed="false">
      <c r="A96" s="14" t="s">
        <v>2530</v>
      </c>
      <c r="B96" s="14" t="n">
        <v>68</v>
      </c>
      <c r="C96" s="14" t="n">
        <v>3</v>
      </c>
      <c r="D96" s="14" t="n">
        <v>3</v>
      </c>
      <c r="E96" s="14" t="s">
        <v>2535</v>
      </c>
      <c r="F96" s="14" t="s">
        <v>2536</v>
      </c>
      <c r="G96" s="14" t="s">
        <v>2537</v>
      </c>
      <c r="H96" s="14"/>
      <c r="I96" s="14"/>
    </row>
    <row r="97" customFormat="false" ht="14.5" hidden="true" customHeight="false" outlineLevel="0" collapsed="false">
      <c r="A97" s="14" t="s">
        <v>1049</v>
      </c>
      <c r="B97" s="14" t="n">
        <v>70</v>
      </c>
      <c r="C97" s="14" t="n">
        <v>1</v>
      </c>
      <c r="D97" s="14" t="n">
        <v>1</v>
      </c>
      <c r="E97" s="14" t="s">
        <v>1780</v>
      </c>
      <c r="F97" s="14" t="s">
        <v>2538</v>
      </c>
      <c r="G97" s="14" t="s">
        <v>2539</v>
      </c>
      <c r="H97" s="14"/>
      <c r="I97" s="14"/>
    </row>
    <row r="98" customFormat="false" ht="14.5" hidden="false" customHeight="false" outlineLevel="0" collapsed="false">
      <c r="A98" s="14" t="s">
        <v>1060</v>
      </c>
      <c r="B98" s="14" t="n">
        <v>70</v>
      </c>
      <c r="C98" s="14" t="n">
        <v>2</v>
      </c>
      <c r="D98" s="14" t="n">
        <v>1</v>
      </c>
      <c r="E98" s="14" t="s">
        <v>2074</v>
      </c>
      <c r="F98" s="14" t="s">
        <v>2540</v>
      </c>
      <c r="G98" s="14" t="s">
        <v>2541</v>
      </c>
      <c r="H98" s="14"/>
      <c r="I98" s="14"/>
    </row>
    <row r="99" customFormat="false" ht="14.5" hidden="true" customHeight="false" outlineLevel="0" collapsed="false">
      <c r="A99" s="14" t="s">
        <v>1060</v>
      </c>
      <c r="B99" s="14" t="n">
        <v>70</v>
      </c>
      <c r="C99" s="14" t="n">
        <v>2</v>
      </c>
      <c r="D99" s="14" t="n">
        <v>2</v>
      </c>
      <c r="E99" s="14" t="s">
        <v>2542</v>
      </c>
      <c r="F99" s="14" t="s">
        <v>2543</v>
      </c>
      <c r="G99" s="14" t="s">
        <v>2544</v>
      </c>
      <c r="H99" s="14"/>
      <c r="I99" s="14"/>
    </row>
    <row r="100" customFormat="false" ht="14.5" hidden="true" customHeight="false" outlineLevel="0" collapsed="false">
      <c r="A100" s="14" t="s">
        <v>1060</v>
      </c>
      <c r="B100" s="14" t="n">
        <v>70</v>
      </c>
      <c r="C100" s="14" t="n">
        <v>2</v>
      </c>
      <c r="D100" s="14" t="n">
        <v>3</v>
      </c>
      <c r="E100" s="14" t="s">
        <v>2545</v>
      </c>
      <c r="F100" s="14" t="s">
        <v>1207</v>
      </c>
      <c r="G100" s="14" t="s">
        <v>2546</v>
      </c>
      <c r="H100" s="14"/>
      <c r="I100" s="14"/>
    </row>
    <row r="101" customFormat="false" ht="14.5" hidden="false" customHeight="false" outlineLevel="0" collapsed="false">
      <c r="A101" s="14" t="s">
        <v>1068</v>
      </c>
      <c r="B101" s="14" t="n">
        <v>70</v>
      </c>
      <c r="C101" s="14" t="n">
        <v>3</v>
      </c>
      <c r="D101" s="14" t="n">
        <v>1</v>
      </c>
      <c r="E101" s="14" t="s">
        <v>2547</v>
      </c>
      <c r="F101" s="14" t="s">
        <v>2548</v>
      </c>
      <c r="G101" s="14" t="s">
        <v>2549</v>
      </c>
      <c r="H101" s="14"/>
      <c r="I101" s="14"/>
    </row>
    <row r="102" customFormat="false" ht="14.5" hidden="true" customHeight="false" outlineLevel="0" collapsed="false">
      <c r="A102" s="14" t="s">
        <v>1068</v>
      </c>
      <c r="B102" s="14" t="n">
        <v>70</v>
      </c>
      <c r="C102" s="14" t="n">
        <v>3</v>
      </c>
      <c r="D102" s="14" t="n">
        <v>2</v>
      </c>
      <c r="E102" s="14" t="s">
        <v>1784</v>
      </c>
      <c r="F102" s="14" t="s">
        <v>2550</v>
      </c>
      <c r="G102" s="14" t="s">
        <v>2551</v>
      </c>
      <c r="H102" s="14"/>
      <c r="I102" s="14"/>
    </row>
    <row r="103" customFormat="false" ht="14.5" hidden="true" customHeight="false" outlineLevel="0" collapsed="false">
      <c r="A103" s="14" t="s">
        <v>1068</v>
      </c>
      <c r="B103" s="14" t="n">
        <v>70</v>
      </c>
      <c r="C103" s="14" t="n">
        <v>3</v>
      </c>
      <c r="D103" s="14" t="n">
        <v>3</v>
      </c>
      <c r="E103" s="14" t="s">
        <v>2542</v>
      </c>
      <c r="F103" s="14" t="s">
        <v>2552</v>
      </c>
      <c r="G103" s="14" t="s">
        <v>2553</v>
      </c>
      <c r="H103" s="14"/>
      <c r="I103" s="14"/>
    </row>
    <row r="104" customFormat="false" ht="14.5" hidden="false" customHeight="false" outlineLevel="0" collapsed="false">
      <c r="A104" s="14" t="s">
        <v>1068</v>
      </c>
      <c r="B104" s="14" t="n">
        <v>70</v>
      </c>
      <c r="C104" s="14" t="n">
        <v>3</v>
      </c>
      <c r="D104" s="14" t="n">
        <v>4</v>
      </c>
      <c r="E104" s="14" t="s">
        <v>2554</v>
      </c>
      <c r="F104" s="14" t="s">
        <v>2555</v>
      </c>
      <c r="G104" s="14" t="s">
        <v>2556</v>
      </c>
      <c r="H104" s="14"/>
      <c r="I104" s="14"/>
    </row>
    <row r="105" customFormat="false" ht="14.5" hidden="true" customHeight="false" outlineLevel="0" collapsed="false">
      <c r="A105" s="14" t="s">
        <v>1076</v>
      </c>
      <c r="B105" s="14" t="n">
        <v>78</v>
      </c>
      <c r="C105" s="14" t="n">
        <v>1</v>
      </c>
      <c r="D105" s="14" t="n">
        <v>1</v>
      </c>
      <c r="E105" s="14" t="s">
        <v>2557</v>
      </c>
      <c r="F105" s="14" t="s">
        <v>1557</v>
      </c>
      <c r="G105" s="14" t="s">
        <v>2558</v>
      </c>
      <c r="H105" s="14"/>
      <c r="I105" s="14"/>
    </row>
    <row r="106" customFormat="false" ht="14.5" hidden="false" customHeight="false" outlineLevel="0" collapsed="false">
      <c r="A106" s="14" t="s">
        <v>1076</v>
      </c>
      <c r="B106" s="14" t="n">
        <v>78</v>
      </c>
      <c r="C106" s="14" t="n">
        <v>1</v>
      </c>
      <c r="D106" s="14" t="n">
        <v>2</v>
      </c>
      <c r="E106" s="14" t="s">
        <v>2559</v>
      </c>
      <c r="F106" s="14" t="s">
        <v>2560</v>
      </c>
      <c r="G106" s="14" t="s">
        <v>2561</v>
      </c>
      <c r="H106" s="14"/>
      <c r="I106" s="14"/>
    </row>
    <row r="107" customFormat="false" ht="14.5" hidden="true" customHeight="false" outlineLevel="0" collapsed="false">
      <c r="A107" s="14" t="s">
        <v>1083</v>
      </c>
      <c r="B107" s="14" t="n">
        <v>78</v>
      </c>
      <c r="C107" s="14" t="n">
        <v>2</v>
      </c>
      <c r="D107" s="14" t="n">
        <v>1</v>
      </c>
      <c r="E107" s="14" t="s">
        <v>2562</v>
      </c>
      <c r="F107" s="14" t="s">
        <v>1490</v>
      </c>
      <c r="G107" s="14" t="s">
        <v>2563</v>
      </c>
      <c r="H107" s="14"/>
      <c r="I107" s="14"/>
    </row>
    <row r="108" customFormat="false" ht="14.5" hidden="true" customHeight="false" outlineLevel="0" collapsed="false">
      <c r="A108" s="14" t="s">
        <v>1083</v>
      </c>
      <c r="B108" s="14" t="n">
        <v>78</v>
      </c>
      <c r="C108" s="14" t="n">
        <v>2</v>
      </c>
      <c r="D108" s="14" t="n">
        <v>2</v>
      </c>
      <c r="E108" s="14" t="s">
        <v>2564</v>
      </c>
      <c r="F108" s="14" t="s">
        <v>1703</v>
      </c>
      <c r="G108" s="14" t="s">
        <v>2565</v>
      </c>
      <c r="H108" s="14"/>
      <c r="I108" s="14"/>
    </row>
    <row r="109" customFormat="false" ht="14.5" hidden="true" customHeight="false" outlineLevel="0" collapsed="false">
      <c r="A109" s="14" t="s">
        <v>1087</v>
      </c>
      <c r="B109" s="14" t="n">
        <v>78</v>
      </c>
      <c r="C109" s="14" t="n">
        <v>3</v>
      </c>
      <c r="D109" s="14" t="n">
        <v>1</v>
      </c>
      <c r="E109" s="14" t="s">
        <v>2557</v>
      </c>
      <c r="F109" s="14" t="s">
        <v>2566</v>
      </c>
      <c r="G109" s="14" t="s">
        <v>2567</v>
      </c>
      <c r="H109" s="14"/>
      <c r="I109" s="14"/>
    </row>
    <row r="110" customFormat="false" ht="14.5" hidden="false" customHeight="false" outlineLevel="0" collapsed="false">
      <c r="A110" s="14" t="s">
        <v>1087</v>
      </c>
      <c r="B110" s="14" t="n">
        <v>78</v>
      </c>
      <c r="C110" s="14" t="n">
        <v>3</v>
      </c>
      <c r="D110" s="14" t="n">
        <v>2</v>
      </c>
      <c r="E110" s="14" t="s">
        <v>2227</v>
      </c>
      <c r="F110" s="14" t="s">
        <v>1513</v>
      </c>
      <c r="G110" s="14" t="s">
        <v>2568</v>
      </c>
      <c r="H110" s="14"/>
      <c r="I110" s="14"/>
    </row>
    <row r="111" customFormat="false" ht="14.5" hidden="false" customHeight="false" outlineLevel="0" collapsed="false">
      <c r="A111" s="14" t="s">
        <v>1091</v>
      </c>
      <c r="B111" s="14" t="n">
        <v>83</v>
      </c>
      <c r="C111" s="14" t="n">
        <v>1</v>
      </c>
      <c r="D111" s="14" t="n">
        <v>1</v>
      </c>
      <c r="E111" s="14" t="s">
        <v>1105</v>
      </c>
      <c r="F111" s="14" t="s">
        <v>2569</v>
      </c>
      <c r="G111" s="14" t="s">
        <v>2570</v>
      </c>
      <c r="H111" s="14"/>
      <c r="I111" s="14"/>
    </row>
    <row r="112" customFormat="false" ht="14.5" hidden="false" customHeight="false" outlineLevel="0" collapsed="false">
      <c r="A112" s="14" t="s">
        <v>1091</v>
      </c>
      <c r="B112" s="14" t="n">
        <v>83</v>
      </c>
      <c r="C112" s="14" t="n">
        <v>1</v>
      </c>
      <c r="D112" s="14" t="n">
        <v>2</v>
      </c>
      <c r="E112" s="14" t="s">
        <v>2571</v>
      </c>
      <c r="F112" s="14" t="s">
        <v>2572</v>
      </c>
      <c r="G112" s="14" t="s">
        <v>2573</v>
      </c>
      <c r="H112" s="14"/>
      <c r="I112" s="14"/>
    </row>
    <row r="113" customFormat="false" ht="14.5" hidden="false" customHeight="false" outlineLevel="0" collapsed="false">
      <c r="A113" s="14" t="s">
        <v>1098</v>
      </c>
      <c r="B113" s="14" t="n">
        <v>83</v>
      </c>
      <c r="C113" s="14" t="n">
        <v>2</v>
      </c>
      <c r="D113" s="14" t="n">
        <v>1</v>
      </c>
      <c r="E113" s="14" t="s">
        <v>1910</v>
      </c>
      <c r="F113" s="14" t="s">
        <v>2574</v>
      </c>
      <c r="G113" s="14" t="s">
        <v>2575</v>
      </c>
      <c r="H113" s="14"/>
      <c r="I113" s="14"/>
    </row>
    <row r="114" customFormat="false" ht="14.5" hidden="true" customHeight="false" outlineLevel="0" collapsed="false">
      <c r="A114" s="14" t="s">
        <v>1101</v>
      </c>
      <c r="B114" s="14" t="n">
        <v>83</v>
      </c>
      <c r="C114" s="14" t="n">
        <v>3</v>
      </c>
      <c r="D114" s="14" t="n">
        <v>1</v>
      </c>
      <c r="E114" s="14" t="s">
        <v>1105</v>
      </c>
      <c r="F114" s="14" t="s">
        <v>1811</v>
      </c>
      <c r="G114" s="14" t="s">
        <v>2576</v>
      </c>
      <c r="H114" s="14"/>
      <c r="I114" s="14"/>
    </row>
    <row r="115" customFormat="false" ht="14.5" hidden="true" customHeight="false" outlineLevel="0" collapsed="false">
      <c r="A115" s="14" t="s">
        <v>1965</v>
      </c>
      <c r="B115" s="14" t="n">
        <v>112</v>
      </c>
      <c r="C115" s="14" t="n">
        <v>1</v>
      </c>
      <c r="D115" s="14" t="n">
        <v>1</v>
      </c>
      <c r="E115" s="14" t="s">
        <v>1975</v>
      </c>
      <c r="F115" s="14" t="s">
        <v>1406</v>
      </c>
      <c r="G115" s="14" t="s">
        <v>2577</v>
      </c>
      <c r="H115" s="14"/>
      <c r="I115" s="14"/>
    </row>
    <row r="116" customFormat="false" ht="14.5" hidden="true" customHeight="false" outlineLevel="0" collapsed="false">
      <c r="A116" s="14" t="s">
        <v>2578</v>
      </c>
      <c r="B116" s="14" t="n">
        <v>112</v>
      </c>
      <c r="C116" s="14" t="n">
        <v>2</v>
      </c>
      <c r="D116" s="14" t="n">
        <v>1</v>
      </c>
      <c r="E116" s="14" t="s">
        <v>1975</v>
      </c>
      <c r="F116" s="14" t="s">
        <v>2579</v>
      </c>
      <c r="G116" s="14" t="s">
        <v>2580</v>
      </c>
      <c r="H116" s="14"/>
      <c r="I116" s="14"/>
    </row>
    <row r="117" customFormat="false" ht="14.5" hidden="false" customHeight="false" outlineLevel="0" collapsed="false">
      <c r="A117" s="14" t="s">
        <v>2581</v>
      </c>
      <c r="B117" s="14" t="n">
        <v>145</v>
      </c>
      <c r="C117" s="14" t="n">
        <v>1</v>
      </c>
      <c r="D117" s="14" t="n">
        <v>1</v>
      </c>
      <c r="E117" s="14" t="s">
        <v>2582</v>
      </c>
      <c r="F117" s="14" t="s">
        <v>2583</v>
      </c>
      <c r="G117" s="14" t="s">
        <v>2584</v>
      </c>
      <c r="H117" s="14"/>
      <c r="I117" s="14"/>
    </row>
    <row r="118" customFormat="false" ht="14.5" hidden="true" customHeight="false" outlineLevel="0" collapsed="false">
      <c r="A118" s="14" t="s">
        <v>2581</v>
      </c>
      <c r="B118" s="14" t="n">
        <v>145</v>
      </c>
      <c r="C118" s="14" t="n">
        <v>1</v>
      </c>
      <c r="D118" s="14" t="n">
        <v>2</v>
      </c>
      <c r="E118" s="14" t="s">
        <v>2585</v>
      </c>
      <c r="F118" s="14" t="s">
        <v>1406</v>
      </c>
      <c r="G118" s="14" t="s">
        <v>2586</v>
      </c>
      <c r="H118" s="14"/>
      <c r="I118" s="14"/>
    </row>
    <row r="119" customFormat="false" ht="14.5" hidden="true" customHeight="false" outlineLevel="0" collapsed="false">
      <c r="A119" s="14" t="s">
        <v>2581</v>
      </c>
      <c r="B119" s="14" t="n">
        <v>145</v>
      </c>
      <c r="C119" s="14" t="n">
        <v>1</v>
      </c>
      <c r="D119" s="14" t="n">
        <v>3</v>
      </c>
      <c r="E119" s="14" t="s">
        <v>2587</v>
      </c>
      <c r="F119" s="14" t="s">
        <v>1406</v>
      </c>
      <c r="G119" s="14" t="s">
        <v>2588</v>
      </c>
      <c r="H119" s="14"/>
      <c r="I119" s="14"/>
    </row>
    <row r="120" customFormat="false" ht="14.5" hidden="false" customHeight="false" outlineLevel="0" collapsed="false">
      <c r="A120" s="14" t="s">
        <v>2589</v>
      </c>
      <c r="B120" s="14" t="n">
        <v>145</v>
      </c>
      <c r="C120" s="14" t="n">
        <v>2</v>
      </c>
      <c r="D120" s="14" t="n">
        <v>1</v>
      </c>
      <c r="E120" s="14" t="s">
        <v>2590</v>
      </c>
      <c r="F120" s="14" t="s">
        <v>2591</v>
      </c>
      <c r="G120" s="14" t="s">
        <v>2592</v>
      </c>
      <c r="H120" s="14"/>
      <c r="I120" s="14"/>
    </row>
    <row r="121" customFormat="false" ht="14.5" hidden="false" customHeight="false" outlineLevel="0" collapsed="false">
      <c r="A121" s="14" t="s">
        <v>2589</v>
      </c>
      <c r="B121" s="14" t="n">
        <v>145</v>
      </c>
      <c r="C121" s="14" t="n">
        <v>2</v>
      </c>
      <c r="D121" s="14" t="n">
        <v>2</v>
      </c>
      <c r="E121" s="14" t="s">
        <v>2593</v>
      </c>
      <c r="F121" s="14" t="s">
        <v>2594</v>
      </c>
      <c r="G121" s="14" t="s">
        <v>2595</v>
      </c>
      <c r="H121" s="14"/>
      <c r="I121" s="14"/>
    </row>
    <row r="122" customFormat="false" ht="14.5" hidden="false" customHeight="false" outlineLevel="0" collapsed="false">
      <c r="A122" s="14" t="s">
        <v>2589</v>
      </c>
      <c r="B122" s="14" t="n">
        <v>145</v>
      </c>
      <c r="C122" s="14" t="n">
        <v>2</v>
      </c>
      <c r="D122" s="14" t="n">
        <v>3</v>
      </c>
      <c r="E122" s="14" t="s">
        <v>2596</v>
      </c>
      <c r="F122" s="14" t="s">
        <v>2597</v>
      </c>
      <c r="G122" s="14" t="s">
        <v>2598</v>
      </c>
      <c r="H122" s="14"/>
      <c r="I122" s="14"/>
    </row>
    <row r="123" customFormat="false" ht="14.5" hidden="false" customHeight="false" outlineLevel="0" collapsed="false">
      <c r="A123" s="14" t="s">
        <v>2599</v>
      </c>
      <c r="B123" s="14" t="n">
        <v>145</v>
      </c>
      <c r="C123" s="14" t="n">
        <v>3</v>
      </c>
      <c r="D123" s="14" t="n">
        <v>1</v>
      </c>
      <c r="E123" s="14" t="s">
        <v>2585</v>
      </c>
      <c r="F123" s="14" t="s">
        <v>2600</v>
      </c>
      <c r="G123" s="14" t="s">
        <v>2601</v>
      </c>
      <c r="H123" s="14"/>
      <c r="I123" s="14"/>
    </row>
    <row r="124" customFormat="false" ht="14.5" hidden="false" customHeight="false" outlineLevel="0" collapsed="false">
      <c r="A124" s="14" t="s">
        <v>2599</v>
      </c>
      <c r="B124" s="14" t="n">
        <v>145</v>
      </c>
      <c r="C124" s="14" t="n">
        <v>3</v>
      </c>
      <c r="D124" s="14" t="n">
        <v>2</v>
      </c>
      <c r="E124" s="14" t="s">
        <v>2602</v>
      </c>
      <c r="F124" s="14" t="s">
        <v>2600</v>
      </c>
      <c r="G124" s="14" t="s">
        <v>2603</v>
      </c>
      <c r="H124" s="14"/>
      <c r="I124" s="14"/>
    </row>
    <row r="125" customFormat="false" ht="14.5" hidden="false" customHeight="false" outlineLevel="0" collapsed="false">
      <c r="A125" s="14" t="s">
        <v>2599</v>
      </c>
      <c r="B125" s="14" t="n">
        <v>145</v>
      </c>
      <c r="C125" s="14" t="n">
        <v>3</v>
      </c>
      <c r="D125" s="14" t="n">
        <v>3</v>
      </c>
      <c r="E125" s="14" t="s">
        <v>2604</v>
      </c>
      <c r="F125" s="14" t="s">
        <v>2600</v>
      </c>
      <c r="G125" s="14" t="s">
        <v>2605</v>
      </c>
      <c r="H125" s="14"/>
      <c r="I125" s="14"/>
    </row>
    <row r="126" customFormat="false" ht="14.5" hidden="false" customHeight="false" outlineLevel="0" collapsed="false">
      <c r="A126" s="14" t="s">
        <v>2599</v>
      </c>
      <c r="B126" s="14" t="n">
        <v>145</v>
      </c>
      <c r="C126" s="14" t="n">
        <v>3</v>
      </c>
      <c r="D126" s="14" t="n">
        <v>4</v>
      </c>
      <c r="E126" s="14" t="s">
        <v>2606</v>
      </c>
      <c r="F126" s="14" t="s">
        <v>2600</v>
      </c>
      <c r="G126" s="14" t="s">
        <v>2607</v>
      </c>
      <c r="H126" s="14"/>
      <c r="I126" s="14"/>
    </row>
    <row r="127" customFormat="false" ht="14.5" hidden="false" customHeight="false" outlineLevel="0" collapsed="false">
      <c r="A127" s="14" t="s">
        <v>2599</v>
      </c>
      <c r="B127" s="14" t="n">
        <v>145</v>
      </c>
      <c r="C127" s="14" t="n">
        <v>3</v>
      </c>
      <c r="D127" s="14" t="n">
        <v>5</v>
      </c>
      <c r="E127" s="14" t="s">
        <v>2587</v>
      </c>
      <c r="F127" s="14" t="s">
        <v>2600</v>
      </c>
      <c r="G127" s="14" t="s">
        <v>2608</v>
      </c>
      <c r="H127" s="14"/>
      <c r="I127" s="14"/>
    </row>
    <row r="128" customFormat="false" ht="14.5" hidden="false" customHeight="false" outlineLevel="0" collapsed="false">
      <c r="A128" s="14" t="s">
        <v>2291</v>
      </c>
      <c r="B128" s="14" t="n">
        <v>192</v>
      </c>
      <c r="C128" s="14" t="n">
        <v>1</v>
      </c>
      <c r="D128" s="14" t="n">
        <v>1</v>
      </c>
      <c r="E128" s="14" t="s">
        <v>2609</v>
      </c>
      <c r="F128" s="14" t="s">
        <v>2610</v>
      </c>
      <c r="G128" s="14" t="s">
        <v>2611</v>
      </c>
      <c r="H128" s="14"/>
      <c r="I128" s="14"/>
    </row>
    <row r="129" customFormat="false" ht="14.5" hidden="true" customHeight="false" outlineLevel="0" collapsed="false">
      <c r="A129" s="14" t="s">
        <v>2291</v>
      </c>
      <c r="B129" s="14" t="n">
        <v>192</v>
      </c>
      <c r="C129" s="14" t="n">
        <v>1</v>
      </c>
      <c r="D129" s="14" t="n">
        <v>2</v>
      </c>
      <c r="E129" s="14" t="s">
        <v>2612</v>
      </c>
      <c r="F129" s="14" t="s">
        <v>2613</v>
      </c>
      <c r="G129" s="14" t="s">
        <v>2614</v>
      </c>
      <c r="H129" s="14"/>
      <c r="I129" s="14"/>
    </row>
    <row r="130" customFormat="false" ht="14.5" hidden="true" customHeight="false" outlineLevel="0" collapsed="false">
      <c r="A130" s="14" t="s">
        <v>2291</v>
      </c>
      <c r="B130" s="14" t="n">
        <v>192</v>
      </c>
      <c r="C130" s="14" t="n">
        <v>1</v>
      </c>
      <c r="D130" s="14" t="n">
        <v>3</v>
      </c>
      <c r="E130" s="14" t="s">
        <v>2615</v>
      </c>
      <c r="F130" s="14" t="s">
        <v>2550</v>
      </c>
      <c r="G130" s="14" t="s">
        <v>2616</v>
      </c>
      <c r="H130" s="14"/>
      <c r="I130" s="14"/>
    </row>
    <row r="131" customFormat="false" ht="14.5" hidden="true" customHeight="false" outlineLevel="0" collapsed="false">
      <c r="A131" s="14" t="s">
        <v>2299</v>
      </c>
      <c r="B131" s="14" t="n">
        <v>192</v>
      </c>
      <c r="C131" s="14" t="n">
        <v>3</v>
      </c>
      <c r="D131" s="14" t="n">
        <v>1</v>
      </c>
      <c r="E131" s="14" t="s">
        <v>2617</v>
      </c>
      <c r="F131" s="14" t="s">
        <v>1406</v>
      </c>
      <c r="G131" s="14" t="s">
        <v>2618</v>
      </c>
      <c r="H131" s="14"/>
      <c r="I131" s="14"/>
    </row>
    <row r="132" customFormat="false" ht="14.5" hidden="true" customHeight="false" outlineLevel="0" collapsed="false">
      <c r="A132" s="14" t="s">
        <v>2299</v>
      </c>
      <c r="B132" s="14" t="n">
        <v>192</v>
      </c>
      <c r="C132" s="14" t="n">
        <v>3</v>
      </c>
      <c r="D132" s="14" t="n">
        <v>2</v>
      </c>
      <c r="E132" s="14" t="s">
        <v>2619</v>
      </c>
      <c r="F132" s="14" t="s">
        <v>1406</v>
      </c>
      <c r="G132" s="14" t="s">
        <v>2620</v>
      </c>
      <c r="H132" s="14"/>
      <c r="I132" s="14"/>
    </row>
    <row r="133" customFormat="false" ht="14.5" hidden="true" customHeight="false" outlineLevel="0" collapsed="false">
      <c r="A133" s="14" t="s">
        <v>2299</v>
      </c>
      <c r="B133" s="14" t="n">
        <v>192</v>
      </c>
      <c r="C133" s="14" t="n">
        <v>3</v>
      </c>
      <c r="D133" s="14" t="n">
        <v>3</v>
      </c>
      <c r="E133" s="14" t="s">
        <v>2609</v>
      </c>
      <c r="F133" s="14" t="s">
        <v>1406</v>
      </c>
      <c r="G133" s="14" t="s">
        <v>2621</v>
      </c>
      <c r="H133" s="14"/>
      <c r="I133" s="14"/>
    </row>
    <row r="134" customFormat="false" ht="14.5" hidden="true" customHeight="false" outlineLevel="0" collapsed="false">
      <c r="A134" s="14" t="s">
        <v>2299</v>
      </c>
      <c r="B134" s="14" t="n">
        <v>192</v>
      </c>
      <c r="C134" s="14" t="n">
        <v>3</v>
      </c>
      <c r="D134" s="14" t="n">
        <v>4</v>
      </c>
      <c r="E134" s="14" t="s">
        <v>2622</v>
      </c>
      <c r="F134" s="14" t="s">
        <v>1406</v>
      </c>
      <c r="G134" s="14" t="s">
        <v>2623</v>
      </c>
      <c r="H134" s="14"/>
      <c r="I134" s="14"/>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1" sqref="G14:I22 F6"/>
    </sheetView>
  </sheetViews>
  <sheetFormatPr defaultColWidth="8.4296875" defaultRowHeight="14.5" zeroHeight="false" outlineLevelRow="0" outlineLevelCol="0"/>
  <cols>
    <col collapsed="false" customWidth="true" hidden="false" outlineLevel="0" max="4" min="4" style="0" width="24"/>
    <col collapsed="false" customWidth="true" hidden="false" outlineLevel="0" max="5" min="5" style="0" width="12.45"/>
    <col collapsed="false" customWidth="true" hidden="false" outlineLevel="0" max="6" min="6" style="0" width="23.28"/>
    <col collapsed="false" customWidth="true" hidden="false" outlineLevel="0" max="8" min="7" style="0" width="13"/>
    <col collapsed="false" customWidth="true" hidden="false" outlineLevel="0" max="9" min="9" style="0" width="14.17"/>
  </cols>
  <sheetData>
    <row r="1" customFormat="false" ht="14.5" hidden="false" customHeight="false" outlineLevel="0" collapsed="false">
      <c r="A1" s="37" t="s">
        <v>2348</v>
      </c>
      <c r="B1" s="37" t="s">
        <v>2084</v>
      </c>
      <c r="C1" s="37" t="s">
        <v>1163</v>
      </c>
      <c r="D1" s="37" t="s">
        <v>2085</v>
      </c>
      <c r="E1" s="37" t="s">
        <v>1993</v>
      </c>
      <c r="F1" s="37" t="s">
        <v>1165</v>
      </c>
      <c r="G1" s="37" t="s">
        <v>1166</v>
      </c>
      <c r="H1" s="37" t="s">
        <v>2302</v>
      </c>
      <c r="I1" s="37" t="s">
        <v>1168</v>
      </c>
    </row>
    <row r="2" customFormat="false" ht="14.5" hidden="false" customHeight="false" outlineLevel="0" collapsed="false">
      <c r="A2" s="1" t="n">
        <v>3</v>
      </c>
      <c r="B2" s="1" t="n">
        <v>1</v>
      </c>
      <c r="C2" s="1" t="n">
        <v>1</v>
      </c>
      <c r="D2" s="1" t="s">
        <v>2357</v>
      </c>
      <c r="E2" s="5" t="s">
        <v>2624</v>
      </c>
      <c r="F2" s="1" t="s">
        <v>2360</v>
      </c>
      <c r="G2" s="1" t="s">
        <v>2008</v>
      </c>
      <c r="H2" s="1"/>
      <c r="I2" s="1" t="s">
        <v>2359</v>
      </c>
    </row>
    <row r="3" customFormat="false" ht="14.5" hidden="false" customHeight="false" outlineLevel="0" collapsed="false">
      <c r="A3" s="5" t="n">
        <v>3</v>
      </c>
      <c r="B3" s="5" t="n">
        <v>1</v>
      </c>
      <c r="C3" s="5" t="n">
        <v>2</v>
      </c>
      <c r="D3" s="5" t="s">
        <v>9</v>
      </c>
      <c r="E3" s="1" t="s">
        <v>10</v>
      </c>
      <c r="F3" s="5" t="s">
        <v>11</v>
      </c>
      <c r="G3" s="5" t="s">
        <v>12</v>
      </c>
      <c r="H3" s="6" t="s">
        <v>13</v>
      </c>
      <c r="I3" s="5" t="s">
        <v>14</v>
      </c>
    </row>
    <row r="4" customFormat="false" ht="14.5" hidden="false" customHeight="false" outlineLevel="0" collapsed="false">
      <c r="A4" s="1" t="n">
        <v>3</v>
      </c>
      <c r="B4" s="1" t="n">
        <v>2</v>
      </c>
      <c r="C4" s="1" t="n">
        <v>1</v>
      </c>
      <c r="D4" s="1" t="s">
        <v>2357</v>
      </c>
      <c r="E4" s="1" t="s">
        <v>10</v>
      </c>
      <c r="F4" s="1" t="s">
        <v>2360</v>
      </c>
      <c r="G4" s="1" t="s">
        <v>2008</v>
      </c>
      <c r="H4" s="1"/>
      <c r="I4" s="1" t="s">
        <v>2361</v>
      </c>
    </row>
    <row r="5" customFormat="false" ht="14.5" hidden="false" customHeight="false" outlineLevel="0" collapsed="false">
      <c r="A5" s="5" t="n">
        <v>3</v>
      </c>
      <c r="B5" s="5" t="n">
        <v>2</v>
      </c>
      <c r="C5" s="5" t="n">
        <v>2</v>
      </c>
      <c r="D5" s="5" t="s">
        <v>9</v>
      </c>
      <c r="E5" s="1" t="s">
        <v>10</v>
      </c>
      <c r="F5" s="5" t="s">
        <v>2360</v>
      </c>
      <c r="G5" s="5" t="s">
        <v>2008</v>
      </c>
      <c r="H5" s="5"/>
      <c r="I5" s="5" t="s">
        <v>2362</v>
      </c>
    </row>
    <row r="6" customFormat="false" ht="14.5" hidden="false" customHeight="false" outlineLevel="0" collapsed="false">
      <c r="A6" s="1" t="n">
        <v>3</v>
      </c>
      <c r="B6" s="1" t="n">
        <v>3</v>
      </c>
      <c r="C6" s="1" t="n">
        <v>4</v>
      </c>
      <c r="D6" s="1" t="s">
        <v>9</v>
      </c>
      <c r="E6" s="1" t="s">
        <v>10</v>
      </c>
      <c r="F6" s="1" t="s">
        <v>2360</v>
      </c>
      <c r="G6" s="1" t="s">
        <v>2625</v>
      </c>
      <c r="H6" s="1"/>
      <c r="I6" s="1" t="s">
        <v>2372</v>
      </c>
    </row>
    <row r="7" customFormat="false" ht="14.5" hidden="false" customHeight="false" outlineLevel="0" collapsed="false">
      <c r="A7" s="5" t="n">
        <v>10</v>
      </c>
      <c r="B7" s="5" t="n">
        <v>3</v>
      </c>
      <c r="C7" s="5" t="n">
        <v>2</v>
      </c>
      <c r="D7" s="5" t="s">
        <v>2379</v>
      </c>
      <c r="E7" s="5" t="s">
        <v>124</v>
      </c>
      <c r="F7" s="5" t="s">
        <v>1899</v>
      </c>
      <c r="G7" s="5" t="s">
        <v>2033</v>
      </c>
      <c r="H7" s="5"/>
      <c r="I7" s="5" t="s">
        <v>2380</v>
      </c>
    </row>
    <row r="8" customFormat="false" ht="14.5" hidden="false" customHeight="false" outlineLevel="0" collapsed="false">
      <c r="A8" s="1" t="n">
        <v>24</v>
      </c>
      <c r="B8" s="1" t="n">
        <v>2</v>
      </c>
      <c r="C8" s="1" t="n">
        <v>1</v>
      </c>
      <c r="D8" s="1" t="s">
        <v>2395</v>
      </c>
      <c r="E8" s="1" t="s">
        <v>243</v>
      </c>
      <c r="F8" s="1" t="s">
        <v>2396</v>
      </c>
      <c r="G8" s="1" t="s">
        <v>2626</v>
      </c>
      <c r="H8" s="1"/>
      <c r="I8" s="1" t="s">
        <v>2397</v>
      </c>
    </row>
    <row r="9" customFormat="false" ht="14.5" hidden="false" customHeight="false" outlineLevel="0" collapsed="false">
      <c r="A9" s="5" t="n">
        <v>25</v>
      </c>
      <c r="B9" s="5" t="n">
        <v>2</v>
      </c>
      <c r="C9" s="5" t="n">
        <v>1</v>
      </c>
      <c r="D9" s="5" t="s">
        <v>1382</v>
      </c>
      <c r="E9" s="5" t="s">
        <v>251</v>
      </c>
      <c r="F9" s="5" t="s">
        <v>2403</v>
      </c>
      <c r="G9" s="5" t="s">
        <v>2627</v>
      </c>
      <c r="H9" s="5"/>
      <c r="I9" s="5" t="s">
        <v>2404</v>
      </c>
    </row>
    <row r="10" customFormat="false" ht="14.5" hidden="false" customHeight="false" outlineLevel="0" collapsed="false">
      <c r="A10" s="1" t="n">
        <v>35</v>
      </c>
      <c r="B10" s="1" t="n">
        <v>2</v>
      </c>
      <c r="C10" s="1" t="n">
        <v>1</v>
      </c>
      <c r="D10" s="1" t="s">
        <v>2408</v>
      </c>
      <c r="E10" s="1" t="s">
        <v>306</v>
      </c>
      <c r="F10" s="1" t="s">
        <v>2409</v>
      </c>
      <c r="G10" s="1" t="s">
        <v>5</v>
      </c>
      <c r="H10" s="3" t="s">
        <v>2628</v>
      </c>
      <c r="I10" s="1" t="s">
        <v>2410</v>
      </c>
    </row>
    <row r="11" customFormat="false" ht="14.5" hidden="false" customHeight="false" outlineLevel="0" collapsed="false">
      <c r="A11" s="5" t="n">
        <v>35</v>
      </c>
      <c r="B11" s="5" t="n">
        <v>2</v>
      </c>
      <c r="C11" s="5" t="n">
        <v>2</v>
      </c>
      <c r="D11" s="5" t="s">
        <v>2411</v>
      </c>
      <c r="E11" s="5" t="s">
        <v>306</v>
      </c>
      <c r="F11" s="5" t="s">
        <v>2409</v>
      </c>
      <c r="G11" s="1" t="s">
        <v>5</v>
      </c>
      <c r="H11" s="3" t="s">
        <v>2628</v>
      </c>
      <c r="I11" s="5" t="s">
        <v>2412</v>
      </c>
    </row>
    <row r="12" customFormat="false" ht="14.5" hidden="false" customHeight="false" outlineLevel="0" collapsed="false">
      <c r="A12" s="1" t="n">
        <v>35</v>
      </c>
      <c r="B12" s="1" t="n">
        <v>2</v>
      </c>
      <c r="C12" s="1" t="n">
        <v>3</v>
      </c>
      <c r="D12" s="1" t="s">
        <v>2413</v>
      </c>
      <c r="E12" s="1" t="s">
        <v>306</v>
      </c>
      <c r="F12" s="1" t="s">
        <v>2409</v>
      </c>
      <c r="G12" s="1" t="s">
        <v>5</v>
      </c>
      <c r="H12" s="3" t="s">
        <v>2628</v>
      </c>
      <c r="I12" s="1" t="s">
        <v>2414</v>
      </c>
    </row>
    <row r="13" customFormat="false" ht="14.5" hidden="false" customHeight="false" outlineLevel="0" collapsed="false">
      <c r="A13" s="5" t="n">
        <v>35</v>
      </c>
      <c r="B13" s="5" t="n">
        <v>3</v>
      </c>
      <c r="C13" s="5" t="n">
        <v>1</v>
      </c>
      <c r="D13" s="5" t="s">
        <v>2408</v>
      </c>
      <c r="E13" s="5" t="s">
        <v>306</v>
      </c>
      <c r="F13" s="1" t="s">
        <v>2409</v>
      </c>
      <c r="G13" s="1" t="s">
        <v>5</v>
      </c>
      <c r="H13" s="3" t="s">
        <v>2628</v>
      </c>
      <c r="I13" s="5" t="s">
        <v>2417</v>
      </c>
    </row>
    <row r="14" customFormat="false" ht="14.5" hidden="false" customHeight="false" outlineLevel="0" collapsed="false">
      <c r="A14" s="1" t="n">
        <v>35</v>
      </c>
      <c r="B14" s="1" t="n">
        <v>3</v>
      </c>
      <c r="C14" s="1" t="n">
        <v>2</v>
      </c>
      <c r="D14" s="1" t="s">
        <v>2411</v>
      </c>
      <c r="E14" s="1" t="s">
        <v>306</v>
      </c>
      <c r="F14" s="1" t="s">
        <v>2409</v>
      </c>
      <c r="G14" s="1" t="s">
        <v>5</v>
      </c>
      <c r="H14" s="3" t="s">
        <v>2628</v>
      </c>
      <c r="I14" s="1" t="s">
        <v>2418</v>
      </c>
    </row>
    <row r="15" customFormat="false" ht="14.5" hidden="false" customHeight="false" outlineLevel="0" collapsed="false">
      <c r="A15" s="5" t="n">
        <v>36</v>
      </c>
      <c r="B15" s="5" t="n">
        <v>3</v>
      </c>
      <c r="C15" s="5" t="n">
        <v>3</v>
      </c>
      <c r="D15" s="5" t="s">
        <v>2426</v>
      </c>
      <c r="E15" s="1" t="s">
        <v>329</v>
      </c>
      <c r="F15" s="5" t="s">
        <v>2427</v>
      </c>
      <c r="G15" s="5" t="s">
        <v>2033</v>
      </c>
      <c r="H15" s="5"/>
      <c r="I15" s="5" t="s">
        <v>2428</v>
      </c>
    </row>
    <row r="16" customFormat="false" ht="14.5" hidden="false" customHeight="false" outlineLevel="0" collapsed="false">
      <c r="A16" s="1" t="n">
        <v>36</v>
      </c>
      <c r="B16" s="1" t="n">
        <v>3</v>
      </c>
      <c r="C16" s="1" t="n">
        <v>4</v>
      </c>
      <c r="D16" s="1" t="s">
        <v>1179</v>
      </c>
      <c r="E16" s="1" t="s">
        <v>329</v>
      </c>
      <c r="F16" s="1" t="s">
        <v>2429</v>
      </c>
      <c r="G16" s="1" t="s">
        <v>2629</v>
      </c>
      <c r="H16" s="1"/>
      <c r="I16" s="1" t="s">
        <v>2430</v>
      </c>
    </row>
    <row r="17" customFormat="false" ht="14.5" hidden="false" customHeight="false" outlineLevel="0" collapsed="false">
      <c r="A17" s="5" t="n">
        <v>42</v>
      </c>
      <c r="B17" s="5" t="n">
        <v>1</v>
      </c>
      <c r="C17" s="5" t="n">
        <v>1</v>
      </c>
      <c r="D17" s="5" t="s">
        <v>2431</v>
      </c>
      <c r="E17" s="1" t="s">
        <v>354</v>
      </c>
      <c r="F17" s="5" t="s">
        <v>2360</v>
      </c>
      <c r="G17" s="5" t="s">
        <v>2008</v>
      </c>
      <c r="H17" s="5"/>
      <c r="I17" s="5" t="s">
        <v>2433</v>
      </c>
    </row>
    <row r="18" customFormat="false" ht="14.5" hidden="false" customHeight="false" outlineLevel="0" collapsed="false">
      <c r="A18" s="5" t="n">
        <v>42</v>
      </c>
      <c r="B18" s="5" t="n">
        <v>1</v>
      </c>
      <c r="C18" s="5" t="n">
        <v>1</v>
      </c>
      <c r="D18" s="5" t="s">
        <v>2439</v>
      </c>
      <c r="E18" s="5" t="s">
        <v>362</v>
      </c>
      <c r="F18" s="1" t="s">
        <v>2360</v>
      </c>
      <c r="G18" s="5" t="s">
        <v>2008</v>
      </c>
      <c r="H18" s="5"/>
      <c r="I18" s="5" t="s">
        <v>2441</v>
      </c>
    </row>
    <row r="19" customFormat="false" ht="14.5" hidden="false" customHeight="false" outlineLevel="0" collapsed="false">
      <c r="A19" s="1" t="n">
        <v>42</v>
      </c>
      <c r="B19" s="1" t="n">
        <v>1</v>
      </c>
      <c r="C19" s="1" t="n">
        <v>4</v>
      </c>
      <c r="D19" s="1" t="s">
        <v>995</v>
      </c>
      <c r="E19" s="1" t="s">
        <v>354</v>
      </c>
      <c r="F19" s="1" t="s">
        <v>2437</v>
      </c>
      <c r="G19" s="1" t="s">
        <v>2630</v>
      </c>
      <c r="H19" s="3" t="s">
        <v>2631</v>
      </c>
      <c r="I19" s="1" t="s">
        <v>2438</v>
      </c>
    </row>
    <row r="20" customFormat="false" ht="14.5" hidden="false" customHeight="false" outlineLevel="0" collapsed="false">
      <c r="A20" s="1" t="n">
        <v>42</v>
      </c>
      <c r="B20" s="1" t="n">
        <v>1</v>
      </c>
      <c r="C20" s="1" t="n">
        <v>4</v>
      </c>
      <c r="D20" s="1" t="s">
        <v>2442</v>
      </c>
      <c r="E20" s="5" t="s">
        <v>362</v>
      </c>
      <c r="F20" s="1" t="s">
        <v>2446</v>
      </c>
      <c r="G20" s="1" t="s">
        <v>12</v>
      </c>
      <c r="H20" s="3" t="s">
        <v>2632</v>
      </c>
      <c r="I20" s="1" t="s">
        <v>2447</v>
      </c>
    </row>
    <row r="21" customFormat="false" ht="14.5" hidden="false" customHeight="false" outlineLevel="0" collapsed="false">
      <c r="A21" s="5" t="n">
        <v>42</v>
      </c>
      <c r="B21" s="5" t="n">
        <v>3</v>
      </c>
      <c r="C21" s="5" t="n">
        <v>1</v>
      </c>
      <c r="D21" s="5" t="s">
        <v>2431</v>
      </c>
      <c r="E21" s="1" t="s">
        <v>354</v>
      </c>
      <c r="F21" s="5" t="s">
        <v>2360</v>
      </c>
      <c r="G21" s="5" t="s">
        <v>2008</v>
      </c>
      <c r="H21" s="5"/>
      <c r="I21" s="5" t="s">
        <v>2450</v>
      </c>
    </row>
    <row r="22" customFormat="false" ht="14.5" hidden="false" customHeight="false" outlineLevel="0" collapsed="false">
      <c r="A22" s="1" t="n">
        <v>42</v>
      </c>
      <c r="B22" s="1" t="n">
        <v>3</v>
      </c>
      <c r="C22" s="1" t="n">
        <v>1</v>
      </c>
      <c r="D22" s="1" t="s">
        <v>2439</v>
      </c>
      <c r="E22" s="5" t="s">
        <v>362</v>
      </c>
      <c r="F22" s="1" t="s">
        <v>2360</v>
      </c>
      <c r="G22" s="1" t="s">
        <v>2008</v>
      </c>
      <c r="H22" s="1"/>
      <c r="I22" s="1" t="s">
        <v>2452</v>
      </c>
    </row>
    <row r="23" customFormat="false" ht="14.5" hidden="false" customHeight="false" outlineLevel="0" collapsed="false">
      <c r="A23" s="5" t="n">
        <v>54</v>
      </c>
      <c r="B23" s="5" t="n">
        <v>1</v>
      </c>
      <c r="C23" s="5" t="n">
        <v>1</v>
      </c>
      <c r="D23" s="5" t="s">
        <v>1551</v>
      </c>
      <c r="E23" s="5" t="s">
        <v>511</v>
      </c>
      <c r="F23" s="5" t="s">
        <v>2360</v>
      </c>
      <c r="G23" s="5" t="s">
        <v>2633</v>
      </c>
      <c r="H23" s="5"/>
      <c r="I23" s="5" t="s">
        <v>2458</v>
      </c>
    </row>
    <row r="24" customFormat="false" ht="14.5" hidden="false" customHeight="false" outlineLevel="0" collapsed="false">
      <c r="A24" s="1" t="n">
        <v>54</v>
      </c>
      <c r="B24" s="1" t="n">
        <v>1</v>
      </c>
      <c r="C24" s="1" t="n">
        <v>2</v>
      </c>
      <c r="D24" s="1" t="s">
        <v>2459</v>
      </c>
      <c r="E24" s="5" t="s">
        <v>511</v>
      </c>
      <c r="F24" s="1" t="s">
        <v>2360</v>
      </c>
      <c r="G24" s="1" t="s">
        <v>2008</v>
      </c>
      <c r="H24" s="1"/>
      <c r="I24" s="1" t="s">
        <v>2460</v>
      </c>
    </row>
    <row r="25" customFormat="false" ht="14.5" hidden="false" customHeight="false" outlineLevel="0" collapsed="false">
      <c r="A25" s="5" t="n">
        <v>54</v>
      </c>
      <c r="B25" s="5" t="n">
        <v>2</v>
      </c>
      <c r="C25" s="5" t="n">
        <v>1</v>
      </c>
      <c r="D25" s="5" t="s">
        <v>2459</v>
      </c>
      <c r="E25" s="5" t="s">
        <v>511</v>
      </c>
      <c r="F25" s="5" t="s">
        <v>2360</v>
      </c>
      <c r="G25" s="1" t="s">
        <v>2008</v>
      </c>
      <c r="H25" s="5"/>
      <c r="I25" s="5" t="s">
        <v>2465</v>
      </c>
    </row>
    <row r="26" customFormat="false" ht="14.5" hidden="false" customHeight="false" outlineLevel="0" collapsed="false">
      <c r="A26" s="5" t="n">
        <v>54</v>
      </c>
      <c r="B26" s="5" t="n">
        <v>2</v>
      </c>
      <c r="C26" s="5" t="n">
        <v>2</v>
      </c>
      <c r="D26" s="5" t="s">
        <v>2462</v>
      </c>
      <c r="E26" s="1" t="s">
        <v>16</v>
      </c>
      <c r="F26" s="5" t="s">
        <v>2463</v>
      </c>
      <c r="G26" s="5" t="s">
        <v>2634</v>
      </c>
      <c r="H26" s="5"/>
      <c r="I26" s="5" t="s">
        <v>2464</v>
      </c>
    </row>
    <row r="27" customFormat="false" ht="14.5" hidden="false" customHeight="false" outlineLevel="0" collapsed="false">
      <c r="A27" s="1" t="n">
        <v>54</v>
      </c>
      <c r="B27" s="1" t="n">
        <v>2</v>
      </c>
      <c r="C27" s="1" t="n">
        <v>2</v>
      </c>
      <c r="D27" s="1" t="s">
        <v>1551</v>
      </c>
      <c r="E27" s="5" t="s">
        <v>511</v>
      </c>
      <c r="F27" s="1" t="s">
        <v>2635</v>
      </c>
      <c r="G27" s="1" t="s">
        <v>1126</v>
      </c>
      <c r="H27" s="3" t="s">
        <v>2636</v>
      </c>
      <c r="I27" s="1" t="s">
        <v>2466</v>
      </c>
    </row>
    <row r="28" customFormat="false" ht="14.5" hidden="false" customHeight="false" outlineLevel="0" collapsed="false">
      <c r="A28" s="1" t="n">
        <v>54</v>
      </c>
      <c r="B28" s="1" t="n">
        <v>2</v>
      </c>
      <c r="C28" s="0" t="n">
        <v>3</v>
      </c>
      <c r="D28" s="1" t="s">
        <v>15</v>
      </c>
      <c r="E28" s="1" t="s">
        <v>16</v>
      </c>
      <c r="F28" s="1" t="s">
        <v>17</v>
      </c>
      <c r="G28" s="1" t="s">
        <v>18</v>
      </c>
      <c r="H28" s="7" t="s">
        <v>19</v>
      </c>
      <c r="I28" s="1" t="s">
        <v>20</v>
      </c>
    </row>
    <row r="29" customFormat="false" ht="14.5" hidden="false" customHeight="false" outlineLevel="0" collapsed="false">
      <c r="A29" s="5" t="n">
        <v>54</v>
      </c>
      <c r="B29" s="5" t="n">
        <v>2</v>
      </c>
      <c r="C29" s="5" t="n">
        <v>3</v>
      </c>
      <c r="D29" s="5" t="s">
        <v>1990</v>
      </c>
      <c r="E29" s="5" t="s">
        <v>511</v>
      </c>
      <c r="F29" s="5" t="s">
        <v>2360</v>
      </c>
      <c r="G29" s="5" t="s">
        <v>2008</v>
      </c>
      <c r="H29" s="5"/>
      <c r="I29" s="5" t="s">
        <v>2467</v>
      </c>
    </row>
    <row r="30" customFormat="false" ht="14.5" hidden="false" customHeight="false" outlineLevel="0" collapsed="false">
      <c r="A30" s="1" t="n">
        <v>58</v>
      </c>
      <c r="B30" s="1" t="n">
        <v>1</v>
      </c>
      <c r="C30" s="1" t="n">
        <v>1</v>
      </c>
      <c r="D30" s="1" t="s">
        <v>2475</v>
      </c>
      <c r="E30" s="5" t="s">
        <v>528</v>
      </c>
      <c r="F30" s="1" t="s">
        <v>2360</v>
      </c>
      <c r="G30" s="5" t="s">
        <v>2027</v>
      </c>
      <c r="H30" s="1"/>
      <c r="I30" s="1" t="s">
        <v>2476</v>
      </c>
    </row>
    <row r="31" customFormat="false" ht="14.5" hidden="false" customHeight="false" outlineLevel="0" collapsed="false">
      <c r="A31" s="5" t="n">
        <v>58</v>
      </c>
      <c r="B31" s="5" t="n">
        <v>1</v>
      </c>
      <c r="C31" s="5" t="n">
        <v>2</v>
      </c>
      <c r="D31" s="5" t="s">
        <v>2477</v>
      </c>
      <c r="E31" s="5" t="s">
        <v>528</v>
      </c>
      <c r="F31" s="5" t="s">
        <v>2360</v>
      </c>
      <c r="G31" s="5" t="s">
        <v>2027</v>
      </c>
      <c r="H31" s="5"/>
      <c r="I31" s="5" t="s">
        <v>2478</v>
      </c>
    </row>
    <row r="32" customFormat="false" ht="14.5" hidden="false" customHeight="false" outlineLevel="0" collapsed="false">
      <c r="A32" s="1" t="n">
        <v>58</v>
      </c>
      <c r="B32" s="1" t="n">
        <v>1</v>
      </c>
      <c r="C32" s="1" t="n">
        <v>3</v>
      </c>
      <c r="D32" s="1" t="s">
        <v>2479</v>
      </c>
      <c r="E32" s="5" t="s">
        <v>528</v>
      </c>
      <c r="F32" s="5" t="s">
        <v>2360</v>
      </c>
      <c r="G32" s="1" t="s">
        <v>2637</v>
      </c>
      <c r="H32" s="1"/>
      <c r="I32" s="1" t="s">
        <v>2481</v>
      </c>
    </row>
    <row r="33" customFormat="false" ht="14.5" hidden="false" customHeight="false" outlineLevel="0" collapsed="false">
      <c r="A33" s="5" t="n">
        <v>58</v>
      </c>
      <c r="B33" s="5" t="n">
        <v>2</v>
      </c>
      <c r="C33" s="5" t="n">
        <v>1</v>
      </c>
      <c r="D33" s="5" t="s">
        <v>2479</v>
      </c>
      <c r="E33" s="5" t="s">
        <v>528</v>
      </c>
      <c r="F33" s="5" t="s">
        <v>2360</v>
      </c>
      <c r="G33" s="5" t="s">
        <v>2633</v>
      </c>
      <c r="H33" s="5"/>
      <c r="I33" s="5" t="s">
        <v>2482</v>
      </c>
    </row>
    <row r="34" customFormat="false" ht="14.5" hidden="false" customHeight="false" outlineLevel="0" collapsed="false">
      <c r="A34" s="1" t="n">
        <v>58</v>
      </c>
      <c r="B34" s="1" t="n">
        <v>2</v>
      </c>
      <c r="C34" s="1" t="n">
        <v>2</v>
      </c>
      <c r="D34" s="1" t="s">
        <v>2475</v>
      </c>
      <c r="E34" s="5" t="s">
        <v>528</v>
      </c>
      <c r="F34" s="1" t="s">
        <v>2480</v>
      </c>
      <c r="G34" s="1" t="s">
        <v>2638</v>
      </c>
      <c r="H34" s="1"/>
      <c r="I34" s="1" t="s">
        <v>2483</v>
      </c>
    </row>
    <row r="35" customFormat="false" ht="14.5" hidden="false" customHeight="false" outlineLevel="0" collapsed="false">
      <c r="A35" s="5" t="n">
        <v>58</v>
      </c>
      <c r="B35" s="5" t="n">
        <v>2</v>
      </c>
      <c r="C35" s="5" t="n">
        <v>3</v>
      </c>
      <c r="D35" s="5" t="s">
        <v>2477</v>
      </c>
      <c r="E35" s="5" t="s">
        <v>528</v>
      </c>
      <c r="F35" s="5" t="s">
        <v>2480</v>
      </c>
      <c r="G35" s="1" t="s">
        <v>2638</v>
      </c>
      <c r="H35" s="5"/>
      <c r="I35" s="5" t="s">
        <v>2484</v>
      </c>
    </row>
    <row r="36" customFormat="false" ht="14.5" hidden="false" customHeight="false" outlineLevel="0" collapsed="false">
      <c r="A36" s="1" t="n">
        <v>58</v>
      </c>
      <c r="B36" s="1" t="n">
        <v>3</v>
      </c>
      <c r="C36" s="1" t="n">
        <v>1</v>
      </c>
      <c r="D36" s="1" t="s">
        <v>2475</v>
      </c>
      <c r="E36" s="5" t="s">
        <v>528</v>
      </c>
      <c r="F36" s="1" t="s">
        <v>2360</v>
      </c>
      <c r="G36" s="5" t="s">
        <v>2027</v>
      </c>
      <c r="H36" s="1"/>
      <c r="I36" s="1" t="s">
        <v>2487</v>
      </c>
    </row>
    <row r="37" customFormat="false" ht="14.5" hidden="false" customHeight="false" outlineLevel="0" collapsed="false">
      <c r="A37" s="5" t="n">
        <v>58</v>
      </c>
      <c r="B37" s="5" t="n">
        <v>3</v>
      </c>
      <c r="C37" s="5" t="n">
        <v>2</v>
      </c>
      <c r="D37" s="5" t="s">
        <v>2477</v>
      </c>
      <c r="E37" s="5" t="s">
        <v>528</v>
      </c>
      <c r="F37" s="5" t="s">
        <v>2360</v>
      </c>
      <c r="G37" s="5" t="s">
        <v>2027</v>
      </c>
      <c r="H37" s="5"/>
      <c r="I37" s="5" t="s">
        <v>2488</v>
      </c>
    </row>
    <row r="38" customFormat="false" ht="14.5" hidden="false" customHeight="false" outlineLevel="0" collapsed="false">
      <c r="A38" s="1" t="n">
        <v>58</v>
      </c>
      <c r="B38" s="1" t="n">
        <v>3</v>
      </c>
      <c r="C38" s="1" t="n">
        <v>3</v>
      </c>
      <c r="D38" s="1" t="s">
        <v>2475</v>
      </c>
      <c r="E38" s="5" t="s">
        <v>528</v>
      </c>
      <c r="F38" s="1" t="s">
        <v>2489</v>
      </c>
      <c r="G38" s="1" t="s">
        <v>2639</v>
      </c>
      <c r="H38" s="1"/>
      <c r="I38" s="1" t="s">
        <v>2490</v>
      </c>
    </row>
    <row r="39" customFormat="false" ht="14.5" hidden="false" customHeight="false" outlineLevel="0" collapsed="false">
      <c r="A39" s="5" t="n">
        <v>58</v>
      </c>
      <c r="B39" s="5" t="n">
        <v>3</v>
      </c>
      <c r="C39" s="5" t="n">
        <v>4</v>
      </c>
      <c r="D39" s="5" t="s">
        <v>2477</v>
      </c>
      <c r="E39" s="5" t="s">
        <v>528</v>
      </c>
      <c r="F39" s="5" t="s">
        <v>2489</v>
      </c>
      <c r="G39" s="1" t="s">
        <v>2639</v>
      </c>
      <c r="H39" s="5"/>
      <c r="I39" s="5" t="s">
        <v>2491</v>
      </c>
    </row>
    <row r="40" customFormat="false" ht="14.5" hidden="false" customHeight="false" outlineLevel="0" collapsed="false">
      <c r="A40" s="5" t="n">
        <v>65</v>
      </c>
      <c r="B40" s="5" t="n">
        <v>2</v>
      </c>
      <c r="C40" s="5" t="n">
        <v>2</v>
      </c>
      <c r="D40" s="5" t="s">
        <v>2503</v>
      </c>
      <c r="E40" s="1" t="s">
        <v>329</v>
      </c>
      <c r="F40" s="5" t="s">
        <v>2504</v>
      </c>
      <c r="G40" s="5" t="s">
        <v>2640</v>
      </c>
      <c r="H40" s="5"/>
      <c r="I40" s="5" t="s">
        <v>2505</v>
      </c>
    </row>
    <row r="41" customFormat="false" ht="14.5" hidden="false" customHeight="false" outlineLevel="0" collapsed="false">
      <c r="A41" s="5" t="n">
        <v>68</v>
      </c>
      <c r="B41" s="5" t="n">
        <v>3</v>
      </c>
      <c r="C41" s="5" t="n">
        <v>1</v>
      </c>
      <c r="D41" s="5" t="s">
        <v>2521</v>
      </c>
      <c r="E41" s="5" t="s">
        <v>607</v>
      </c>
      <c r="F41" s="5" t="s">
        <v>2531</v>
      </c>
      <c r="G41" s="5" t="s">
        <v>2008</v>
      </c>
      <c r="H41" s="5"/>
      <c r="I41" s="5" t="s">
        <v>2532</v>
      </c>
    </row>
    <row r="42" customFormat="false" ht="14.5" hidden="false" customHeight="false" outlineLevel="0" collapsed="false">
      <c r="A42" s="1" t="n">
        <v>68</v>
      </c>
      <c r="B42" s="1" t="n">
        <v>3</v>
      </c>
      <c r="C42" s="1" t="n">
        <v>3</v>
      </c>
      <c r="D42" s="1" t="s">
        <v>2535</v>
      </c>
      <c r="E42" s="5" t="s">
        <v>607</v>
      </c>
      <c r="F42" s="1" t="s">
        <v>2536</v>
      </c>
      <c r="G42" s="1" t="s">
        <v>2033</v>
      </c>
      <c r="H42" s="1"/>
      <c r="I42" s="1" t="s">
        <v>2537</v>
      </c>
    </row>
    <row r="43" customFormat="false" ht="14.5" hidden="false" customHeight="false" outlineLevel="0" collapsed="false">
      <c r="A43" s="5" t="n">
        <v>70</v>
      </c>
      <c r="B43" s="5" t="n">
        <v>3</v>
      </c>
      <c r="C43" s="5" t="n">
        <v>4</v>
      </c>
      <c r="D43" s="5" t="s">
        <v>2554</v>
      </c>
      <c r="E43" s="5" t="s">
        <v>619</v>
      </c>
      <c r="F43" s="5" t="s">
        <v>2555</v>
      </c>
      <c r="G43" s="5" t="s">
        <v>2008</v>
      </c>
      <c r="H43" s="5"/>
      <c r="I43" s="5" t="s">
        <v>2556</v>
      </c>
    </row>
    <row r="44" customFormat="false" ht="14.5" hidden="false" customHeight="false" outlineLevel="0" collapsed="false">
      <c r="A44" s="1" t="n">
        <v>78</v>
      </c>
      <c r="B44" s="1" t="n">
        <v>1</v>
      </c>
      <c r="C44" s="1" t="n">
        <v>2</v>
      </c>
      <c r="D44" s="1" t="s">
        <v>2559</v>
      </c>
      <c r="E44" s="5" t="s">
        <v>672</v>
      </c>
      <c r="F44" s="1" t="s">
        <v>2560</v>
      </c>
      <c r="G44" s="1" t="s">
        <v>2033</v>
      </c>
      <c r="H44" s="1"/>
      <c r="I44" s="1" t="s">
        <v>2561</v>
      </c>
    </row>
    <row r="45" customFormat="false" ht="14.5" hidden="false" customHeight="false" outlineLevel="0" collapsed="false">
      <c r="A45" s="5" t="n">
        <v>78</v>
      </c>
      <c r="B45" s="5" t="n">
        <v>3</v>
      </c>
      <c r="C45" s="5" t="n">
        <v>2</v>
      </c>
      <c r="D45" s="5" t="s">
        <v>2227</v>
      </c>
      <c r="E45" s="5" t="s">
        <v>672</v>
      </c>
      <c r="F45" s="5" t="s">
        <v>1513</v>
      </c>
      <c r="G45" s="5" t="s">
        <v>2641</v>
      </c>
      <c r="H45" s="5"/>
      <c r="I45" s="5" t="s">
        <v>2568</v>
      </c>
    </row>
    <row r="46" customFormat="false" ht="14.5" hidden="false" customHeight="false" outlineLevel="0" collapsed="false">
      <c r="A46" s="1" t="n">
        <v>83</v>
      </c>
      <c r="B46" s="1" t="n">
        <v>1</v>
      </c>
      <c r="C46" s="1" t="n">
        <v>1</v>
      </c>
      <c r="D46" s="1" t="s">
        <v>1105</v>
      </c>
      <c r="E46" s="1" t="s">
        <v>706</v>
      </c>
      <c r="F46" s="1" t="s">
        <v>2569</v>
      </c>
      <c r="G46" s="1" t="s">
        <v>5</v>
      </c>
      <c r="H46" s="3" t="s">
        <v>2642</v>
      </c>
      <c r="I46" s="1" t="s">
        <v>2570</v>
      </c>
    </row>
    <row r="47" customFormat="false" ht="14.5" hidden="false" customHeight="false" outlineLevel="0" collapsed="false">
      <c r="A47" s="5" t="n">
        <v>83</v>
      </c>
      <c r="B47" s="5" t="n">
        <v>1</v>
      </c>
      <c r="C47" s="5" t="n">
        <v>2</v>
      </c>
      <c r="D47" s="5" t="s">
        <v>2571</v>
      </c>
      <c r="E47" s="1" t="s">
        <v>706</v>
      </c>
      <c r="F47" s="5" t="s">
        <v>2572</v>
      </c>
      <c r="G47" s="5" t="s">
        <v>2008</v>
      </c>
      <c r="H47" s="5"/>
      <c r="I47" s="5" t="s">
        <v>2573</v>
      </c>
    </row>
    <row r="48" customFormat="false" ht="14.5" hidden="false" customHeight="false" outlineLevel="0" collapsed="false">
      <c r="A48" s="5" t="n">
        <v>145</v>
      </c>
      <c r="B48" s="5" t="n">
        <v>1</v>
      </c>
      <c r="C48" s="5" t="n">
        <v>1</v>
      </c>
      <c r="D48" s="5" t="s">
        <v>2582</v>
      </c>
      <c r="E48" s="5" t="s">
        <v>829</v>
      </c>
      <c r="F48" s="5" t="s">
        <v>2583</v>
      </c>
      <c r="G48" s="5" t="s">
        <v>2008</v>
      </c>
      <c r="H48" s="5"/>
      <c r="I48" s="5" t="s">
        <v>2584</v>
      </c>
    </row>
    <row r="49" customFormat="false" ht="14.5" hidden="false" customHeight="false" outlineLevel="0" collapsed="false">
      <c r="A49" s="1" t="n">
        <v>145</v>
      </c>
      <c r="B49" s="1" t="n">
        <v>2</v>
      </c>
      <c r="C49" s="1" t="n">
        <v>1</v>
      </c>
      <c r="D49" s="1" t="s">
        <v>2590</v>
      </c>
      <c r="E49" s="5" t="s">
        <v>829</v>
      </c>
      <c r="F49" s="1" t="s">
        <v>2591</v>
      </c>
      <c r="G49" s="1" t="s">
        <v>2008</v>
      </c>
      <c r="H49" s="1"/>
      <c r="I49" s="1" t="s">
        <v>2592</v>
      </c>
    </row>
    <row r="50" customFormat="false" ht="14.5" hidden="false" customHeight="false" outlineLevel="0" collapsed="false">
      <c r="A50" s="5" t="n">
        <v>145</v>
      </c>
      <c r="B50" s="5" t="n">
        <v>2</v>
      </c>
      <c r="C50" s="5" t="n">
        <v>2</v>
      </c>
      <c r="D50" s="5" t="s">
        <v>2593</v>
      </c>
      <c r="E50" s="5" t="s">
        <v>829</v>
      </c>
      <c r="F50" s="5" t="s">
        <v>2594</v>
      </c>
      <c r="G50" s="5" t="s">
        <v>2643</v>
      </c>
      <c r="H50" s="5"/>
      <c r="I50" s="5" t="s">
        <v>2595</v>
      </c>
    </row>
    <row r="51" customFormat="false" ht="14.5" hidden="false" customHeight="false" outlineLevel="0" collapsed="false">
      <c r="A51" s="1" t="n">
        <v>145</v>
      </c>
      <c r="B51" s="1" t="n">
        <v>2</v>
      </c>
      <c r="C51" s="1" t="n">
        <v>3</v>
      </c>
      <c r="D51" s="1" t="s">
        <v>2596</v>
      </c>
      <c r="E51" s="5" t="s">
        <v>829</v>
      </c>
      <c r="F51" s="1" t="s">
        <v>2597</v>
      </c>
      <c r="G51" s="1" t="s">
        <v>2005</v>
      </c>
      <c r="H51" s="1"/>
      <c r="I51" s="1" t="s">
        <v>2598</v>
      </c>
    </row>
    <row r="52" customFormat="false" ht="14.5" hidden="false" customHeight="false" outlineLevel="0" collapsed="false">
      <c r="A52" s="5" t="n">
        <v>145</v>
      </c>
      <c r="B52" s="5" t="n">
        <v>3</v>
      </c>
      <c r="C52" s="5" t="n">
        <v>1</v>
      </c>
      <c r="D52" s="5" t="s">
        <v>2585</v>
      </c>
      <c r="E52" s="5" t="s">
        <v>829</v>
      </c>
      <c r="F52" s="5" t="s">
        <v>2600</v>
      </c>
      <c r="G52" s="5" t="s">
        <v>2033</v>
      </c>
      <c r="H52" s="5"/>
      <c r="I52" s="5" t="s">
        <v>2601</v>
      </c>
    </row>
    <row r="53" customFormat="false" ht="14.5" hidden="false" customHeight="false" outlineLevel="0" collapsed="false">
      <c r="A53" s="1" t="n">
        <v>145</v>
      </c>
      <c r="B53" s="1" t="n">
        <v>3</v>
      </c>
      <c r="C53" s="1" t="n">
        <v>2</v>
      </c>
      <c r="D53" s="1" t="s">
        <v>2602</v>
      </c>
      <c r="E53" s="5" t="s">
        <v>829</v>
      </c>
      <c r="F53" s="1" t="s">
        <v>2600</v>
      </c>
      <c r="G53" s="1" t="s">
        <v>2033</v>
      </c>
      <c r="H53" s="1"/>
      <c r="I53" s="1" t="s">
        <v>2603</v>
      </c>
    </row>
    <row r="54" customFormat="false" ht="14.5" hidden="false" customHeight="false" outlineLevel="0" collapsed="false">
      <c r="A54" s="5" t="n">
        <v>145</v>
      </c>
      <c r="B54" s="5" t="n">
        <v>3</v>
      </c>
      <c r="C54" s="5" t="n">
        <v>3</v>
      </c>
      <c r="D54" s="5" t="s">
        <v>2604</v>
      </c>
      <c r="E54" s="5" t="s">
        <v>829</v>
      </c>
      <c r="F54" s="5" t="s">
        <v>2600</v>
      </c>
      <c r="G54" s="5" t="s">
        <v>2033</v>
      </c>
      <c r="H54" s="5"/>
      <c r="I54" s="5" t="s">
        <v>2605</v>
      </c>
    </row>
    <row r="55" customFormat="false" ht="14.5" hidden="false" customHeight="false" outlineLevel="0" collapsed="false">
      <c r="A55" s="1" t="n">
        <v>145</v>
      </c>
      <c r="B55" s="1" t="n">
        <v>3</v>
      </c>
      <c r="C55" s="1" t="n">
        <v>4</v>
      </c>
      <c r="D55" s="1" t="s">
        <v>2606</v>
      </c>
      <c r="E55" s="5" t="s">
        <v>829</v>
      </c>
      <c r="F55" s="1" t="s">
        <v>2600</v>
      </c>
      <c r="G55" s="1" t="s">
        <v>2033</v>
      </c>
      <c r="H55" s="1"/>
      <c r="I55" s="1" t="s">
        <v>2607</v>
      </c>
    </row>
    <row r="56" customFormat="false" ht="14.5" hidden="false" customHeight="false" outlineLevel="0" collapsed="false">
      <c r="A56" s="5" t="n">
        <v>145</v>
      </c>
      <c r="B56" s="5" t="n">
        <v>3</v>
      </c>
      <c r="C56" s="5" t="n">
        <v>5</v>
      </c>
      <c r="D56" s="5" t="s">
        <v>2587</v>
      </c>
      <c r="E56" s="5" t="s">
        <v>829</v>
      </c>
      <c r="F56" s="5" t="s">
        <v>2600</v>
      </c>
      <c r="G56" s="5" t="s">
        <v>2033</v>
      </c>
      <c r="H56" s="5"/>
      <c r="I56" s="5" t="s">
        <v>2608</v>
      </c>
    </row>
    <row r="57" customFormat="false" ht="14.5" hidden="false" customHeight="false" outlineLevel="0" collapsed="false">
      <c r="A57" s="1" t="n">
        <v>192</v>
      </c>
      <c r="B57" s="1" t="n">
        <v>1</v>
      </c>
      <c r="C57" s="1" t="n">
        <v>1</v>
      </c>
      <c r="D57" s="1" t="s">
        <v>2609</v>
      </c>
      <c r="E57" s="26" t="s">
        <v>843</v>
      </c>
      <c r="F57" s="1" t="s">
        <v>2610</v>
      </c>
      <c r="G57" s="1" t="s">
        <v>2033</v>
      </c>
      <c r="H57" s="1"/>
      <c r="I57" s="1" t="s">
        <v>2611</v>
      </c>
    </row>
  </sheetData>
  <autoFilter ref="A1:I1">
    <sortState ref="A2:I1">
      <sortCondition ref="A2:A1" customList=""/>
    </sortState>
  </autoFilter>
  <hyperlinks>
    <hyperlink ref="H3" r:id="rId1" location="h-06-users-are-credited-more-tokens-when-paying-back-debt-with-registertradeandborrow" display="https://code4rena.com/reports/2021-04-marginswap/#h-06-users-are-credited-more-tokens-when-paying-back-debt-with-registertradeandborrow"/>
    <hyperlink ref="H10" r:id="rId2" location="h-02-wrong-usage-of-positionid-in-concentratedliquiditypoolmanager" display="https://code4rena.com/reports/2021-09-sushitrident-2/#h-02-wrong-usage-of-positionid-in-concentratedliquiditypoolmanager"/>
    <hyperlink ref="H11" r:id="rId3" location="h-02-wrong-usage-of-positionid-in-concentratedliquiditypoolmanager" display="https://code4rena.com/reports/2021-09-sushitrident-2/#h-02-wrong-usage-of-positionid-in-concentratedliquiditypoolmanager"/>
    <hyperlink ref="H12" r:id="rId4" location="h-02-wrong-usage-of-positionid-in-concentratedliquiditypoolmanager" display="https://code4rena.com/reports/2021-09-sushitrident-2/#h-02-wrong-usage-of-positionid-in-concentratedliquiditypoolmanager"/>
    <hyperlink ref="H13" r:id="rId5" location="h-02-wrong-usage-of-positionid-in-concentratedliquiditypoolmanager" display="https://code4rena.com/reports/2021-09-sushitrident-2/#h-02-wrong-usage-of-positionid-in-concentratedliquiditypoolmanager"/>
    <hyperlink ref="H14" r:id="rId6" location="h-02-wrong-usage-of-positionid-in-concentratedliquiditypoolmanager" display="https://code4rena.com/reports/2021-09-sushitrident-2/#h-02-wrong-usage-of-positionid-in-concentratedliquiditypoolmanager"/>
    <hyperlink ref="H19" r:id="rId7" location="h-02-feepoolv0soldistributemochi-will-unexpectedly-flush-treasuryshare-causing-the-protocol-fee-cannot-be-properly-accounted-for-and-collected" display="https://code4rena.com/reports/2021-10-mochi/#h-02-feepoolv0soldistributemochi-will-unexpectedly-flush-treasuryshare-causing-the-protocol-fee-cannot-be-properly-accounted-for-and-collected"/>
    <hyperlink ref="H20" r:id="rId8" location="h-06-referrer-can-drain-referralfeepoolv0" display="https://code4rena.com/reports/2021-10-mochi/#h-06-referrer-can-drain-referralfeepoolv0"/>
    <hyperlink ref="H27" r:id="rId9" location="h-03-mixintransfersoltransferfrom-wrong-implementation-can-potentially-allows-attackers-to-reverse-transfer-and-cause-fund-loss-to-the-users" display="https://code4rena.com/reports/2021-11-unlock/#h-03-mixintransfersoltransferfrom-wrong-implementation-can-potentially-allows-attackers-to-reverse-transfer-and-cause-fund-loss-to-the-users"/>
    <hyperlink ref="H28" r:id="rId10" location="overview" display="https://code4rena.com/reports/2021-11-unlock/#overview"/>
    <hyperlink ref="H46" r:id="rId11" location="h-02-masterchef-improper-handling-of-deposit-fee" display="https://code4rena.com/reports/2022-02-concur/#h-02-masterchef-improper-handling-of-deposit-fee"/>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0" activeCellId="1" sqref="G14:I22 G10"/>
    </sheetView>
  </sheetViews>
  <sheetFormatPr defaultColWidth="8.4296875" defaultRowHeight="14.5" zeroHeight="false" outlineLevelRow="0" outlineLevelCol="0"/>
  <cols>
    <col collapsed="false" customWidth="true" hidden="false" outlineLevel="0" max="4" min="4" style="0" width="24"/>
    <col collapsed="false" customWidth="true" hidden="false" outlineLevel="0" max="5" min="5" style="0" width="12.45"/>
    <col collapsed="false" customWidth="true" hidden="false" outlineLevel="0" max="6" min="6" style="0" width="23.28"/>
    <col collapsed="false" customWidth="true" hidden="false" outlineLevel="0" max="8" min="7" style="0" width="13"/>
    <col collapsed="false" customWidth="true" hidden="false" outlineLevel="0" max="9" min="9" style="0" width="14.17"/>
  </cols>
  <sheetData>
    <row r="1" customFormat="false" ht="14.5" hidden="false" customHeight="false" outlineLevel="0" collapsed="false">
      <c r="A1" s="37" t="s">
        <v>2348</v>
      </c>
      <c r="B1" s="37" t="s">
        <v>2084</v>
      </c>
      <c r="C1" s="37" t="s">
        <v>1163</v>
      </c>
      <c r="D1" s="37" t="s">
        <v>2085</v>
      </c>
      <c r="E1" s="37" t="s">
        <v>1993</v>
      </c>
      <c r="F1" s="37" t="s">
        <v>1165</v>
      </c>
      <c r="G1" s="37" t="s">
        <v>1166</v>
      </c>
      <c r="H1" s="37" t="s">
        <v>2302</v>
      </c>
      <c r="I1" s="37" t="s">
        <v>1168</v>
      </c>
    </row>
    <row r="2" customFormat="false" ht="14.5" hidden="false" customHeight="false" outlineLevel="0" collapsed="false">
      <c r="A2" s="1" t="n">
        <v>3</v>
      </c>
      <c r="B2" s="1" t="n">
        <v>1</v>
      </c>
      <c r="C2" s="1" t="n">
        <v>1</v>
      </c>
      <c r="D2" s="1" t="s">
        <v>2357</v>
      </c>
      <c r="E2" s="5" t="s">
        <v>2624</v>
      </c>
      <c r="F2" s="1" t="s">
        <v>2360</v>
      </c>
      <c r="G2" s="1" t="s">
        <v>2008</v>
      </c>
      <c r="H2" s="1"/>
      <c r="I2" s="1" t="s">
        <v>2359</v>
      </c>
    </row>
    <row r="3" customFormat="false" ht="14.5" hidden="false" customHeight="false" outlineLevel="0" collapsed="false">
      <c r="A3" s="5" t="n">
        <v>3</v>
      </c>
      <c r="B3" s="5" t="n">
        <v>1</v>
      </c>
      <c r="C3" s="5" t="n">
        <v>2</v>
      </c>
      <c r="D3" s="5" t="s">
        <v>9</v>
      </c>
      <c r="E3" s="1" t="s">
        <v>10</v>
      </c>
      <c r="F3" s="5" t="s">
        <v>11</v>
      </c>
      <c r="G3" s="5" t="s">
        <v>12</v>
      </c>
      <c r="H3" s="6" t="s">
        <v>13</v>
      </c>
      <c r="I3" s="5" t="s">
        <v>14</v>
      </c>
    </row>
    <row r="4" customFormat="false" ht="14.5" hidden="false" customHeight="false" outlineLevel="0" collapsed="false">
      <c r="A4" s="5" t="n">
        <v>3</v>
      </c>
      <c r="B4" s="5" t="n">
        <v>2</v>
      </c>
      <c r="C4" s="5" t="n">
        <v>2</v>
      </c>
      <c r="D4" s="5" t="s">
        <v>9</v>
      </c>
      <c r="E4" s="1" t="s">
        <v>10</v>
      </c>
      <c r="F4" s="5" t="s">
        <v>2360</v>
      </c>
      <c r="G4" s="5" t="s">
        <v>2008</v>
      </c>
      <c r="H4" s="5"/>
      <c r="I4" s="5" t="s">
        <v>2362</v>
      </c>
    </row>
    <row r="5" customFormat="false" ht="14.5" hidden="false" customHeight="false" outlineLevel="0" collapsed="false">
      <c r="A5" s="5" t="n">
        <v>10</v>
      </c>
      <c r="B5" s="5" t="n">
        <v>3</v>
      </c>
      <c r="C5" s="5" t="n">
        <v>2</v>
      </c>
      <c r="D5" s="5" t="s">
        <v>2379</v>
      </c>
      <c r="E5" s="5" t="s">
        <v>124</v>
      </c>
      <c r="F5" s="5" t="s">
        <v>1899</v>
      </c>
      <c r="G5" s="5" t="s">
        <v>2033</v>
      </c>
      <c r="H5" s="5"/>
      <c r="I5" s="5" t="s">
        <v>2380</v>
      </c>
    </row>
    <row r="6" customFormat="false" ht="14.5" hidden="false" customHeight="false" outlineLevel="0" collapsed="false">
      <c r="A6" s="1" t="n">
        <v>24</v>
      </c>
      <c r="B6" s="1" t="n">
        <v>2</v>
      </c>
      <c r="C6" s="1" t="n">
        <v>1</v>
      </c>
      <c r="D6" s="1" t="s">
        <v>2395</v>
      </c>
      <c r="E6" s="1" t="s">
        <v>243</v>
      </c>
      <c r="F6" s="1" t="s">
        <v>2396</v>
      </c>
      <c r="G6" s="1" t="s">
        <v>2626</v>
      </c>
      <c r="H6" s="1"/>
      <c r="I6" s="1" t="s">
        <v>2397</v>
      </c>
    </row>
    <row r="7" customFormat="false" ht="14.5" hidden="false" customHeight="false" outlineLevel="0" collapsed="false">
      <c r="A7" s="5" t="n">
        <v>25</v>
      </c>
      <c r="B7" s="5" t="n">
        <v>2</v>
      </c>
      <c r="C7" s="5" t="n">
        <v>1</v>
      </c>
      <c r="D7" s="5" t="s">
        <v>1382</v>
      </c>
      <c r="E7" s="5" t="s">
        <v>251</v>
      </c>
      <c r="F7" s="5" t="s">
        <v>2403</v>
      </c>
      <c r="G7" s="5" t="s">
        <v>2627</v>
      </c>
      <c r="H7" s="5"/>
      <c r="I7" s="5" t="s">
        <v>2404</v>
      </c>
    </row>
    <row r="8" customFormat="false" ht="14.5" hidden="false" customHeight="false" outlineLevel="0" collapsed="false">
      <c r="A8" s="1" t="n">
        <v>35</v>
      </c>
      <c r="B8" s="1" t="n">
        <v>2</v>
      </c>
      <c r="C8" s="1" t="n">
        <v>1</v>
      </c>
      <c r="D8" s="1" t="s">
        <v>2408</v>
      </c>
      <c r="E8" s="1" t="s">
        <v>306</v>
      </c>
      <c r="F8" s="1" t="s">
        <v>2409</v>
      </c>
      <c r="G8" s="1" t="s">
        <v>5</v>
      </c>
      <c r="H8" s="3" t="s">
        <v>2628</v>
      </c>
      <c r="I8" s="1" t="s">
        <v>2410</v>
      </c>
    </row>
    <row r="9" customFormat="false" ht="14.5" hidden="false" customHeight="false" outlineLevel="0" collapsed="false">
      <c r="A9" s="5" t="n">
        <v>35</v>
      </c>
      <c r="B9" s="5" t="n">
        <v>2</v>
      </c>
      <c r="C9" s="5" t="n">
        <v>2</v>
      </c>
      <c r="D9" s="5" t="s">
        <v>2411</v>
      </c>
      <c r="E9" s="5" t="s">
        <v>306</v>
      </c>
      <c r="F9" s="5" t="s">
        <v>2409</v>
      </c>
      <c r="G9" s="1" t="s">
        <v>5</v>
      </c>
      <c r="H9" s="3" t="s">
        <v>2628</v>
      </c>
      <c r="I9" s="5" t="s">
        <v>2412</v>
      </c>
    </row>
    <row r="10" customFormat="false" ht="14.5" hidden="false" customHeight="false" outlineLevel="0" collapsed="false">
      <c r="A10" s="1" t="n">
        <v>35</v>
      </c>
      <c r="B10" s="1" t="n">
        <v>2</v>
      </c>
      <c r="C10" s="1" t="n">
        <v>3</v>
      </c>
      <c r="D10" s="1" t="s">
        <v>2413</v>
      </c>
      <c r="E10" s="1" t="s">
        <v>306</v>
      </c>
      <c r="F10" s="1" t="s">
        <v>2409</v>
      </c>
      <c r="G10" s="1" t="s">
        <v>5</v>
      </c>
      <c r="H10" s="3" t="s">
        <v>2628</v>
      </c>
      <c r="I10" s="1" t="s">
        <v>2414</v>
      </c>
    </row>
    <row r="11" customFormat="false" ht="14.5" hidden="false" customHeight="false" outlineLevel="0" collapsed="false">
      <c r="A11" s="5" t="n">
        <v>36</v>
      </c>
      <c r="B11" s="5" t="n">
        <v>3</v>
      </c>
      <c r="C11" s="5" t="n">
        <v>3</v>
      </c>
      <c r="D11" s="5" t="s">
        <v>2426</v>
      </c>
      <c r="E11" s="1" t="s">
        <v>329</v>
      </c>
      <c r="F11" s="5" t="s">
        <v>2427</v>
      </c>
      <c r="G11" s="5" t="s">
        <v>2033</v>
      </c>
      <c r="H11" s="5"/>
      <c r="I11" s="5" t="s">
        <v>2428</v>
      </c>
    </row>
    <row r="12" customFormat="false" ht="14.5" hidden="false" customHeight="false" outlineLevel="0" collapsed="false">
      <c r="A12" s="1" t="n">
        <v>36</v>
      </c>
      <c r="B12" s="1" t="n">
        <v>3</v>
      </c>
      <c r="C12" s="1" t="n">
        <v>4</v>
      </c>
      <c r="D12" s="1" t="s">
        <v>1179</v>
      </c>
      <c r="E12" s="1" t="s">
        <v>329</v>
      </c>
      <c r="F12" s="1" t="s">
        <v>2429</v>
      </c>
      <c r="G12" s="1" t="s">
        <v>2629</v>
      </c>
      <c r="H12" s="1"/>
      <c r="I12" s="1" t="s">
        <v>2430</v>
      </c>
    </row>
    <row r="13" customFormat="false" ht="14.5" hidden="false" customHeight="false" outlineLevel="0" collapsed="false">
      <c r="A13" s="5" t="n">
        <v>42</v>
      </c>
      <c r="B13" s="5" t="n">
        <v>1</v>
      </c>
      <c r="C13" s="5" t="n">
        <v>1</v>
      </c>
      <c r="D13" s="5" t="s">
        <v>2431</v>
      </c>
      <c r="E13" s="1" t="s">
        <v>354</v>
      </c>
      <c r="F13" s="5" t="s">
        <v>2360</v>
      </c>
      <c r="G13" s="5" t="s">
        <v>2008</v>
      </c>
      <c r="H13" s="5"/>
      <c r="I13" s="5" t="s">
        <v>2433</v>
      </c>
    </row>
    <row r="14" customFormat="false" ht="14.5" hidden="false" customHeight="false" outlineLevel="0" collapsed="false">
      <c r="A14" s="5" t="n">
        <v>42</v>
      </c>
      <c r="B14" s="5" t="n">
        <v>1</v>
      </c>
      <c r="C14" s="5" t="n">
        <v>1</v>
      </c>
      <c r="D14" s="5" t="s">
        <v>2439</v>
      </c>
      <c r="E14" s="5" t="s">
        <v>362</v>
      </c>
      <c r="F14" s="1" t="s">
        <v>2360</v>
      </c>
      <c r="G14" s="5" t="s">
        <v>2008</v>
      </c>
      <c r="H14" s="5"/>
      <c r="I14" s="5" t="s">
        <v>2441</v>
      </c>
    </row>
    <row r="15" customFormat="false" ht="14.5" hidden="false" customHeight="false" outlineLevel="0" collapsed="false">
      <c r="A15" s="1" t="n">
        <v>42</v>
      </c>
      <c r="B15" s="1" t="n">
        <v>1</v>
      </c>
      <c r="C15" s="1" t="n">
        <v>4</v>
      </c>
      <c r="D15" s="1" t="s">
        <v>995</v>
      </c>
      <c r="E15" s="1" t="s">
        <v>354</v>
      </c>
      <c r="F15" s="1" t="s">
        <v>2437</v>
      </c>
      <c r="G15" s="1" t="s">
        <v>2630</v>
      </c>
      <c r="H15" s="3" t="s">
        <v>2631</v>
      </c>
      <c r="I15" s="1" t="s">
        <v>2438</v>
      </c>
    </row>
    <row r="16" customFormat="false" ht="14.5" hidden="false" customHeight="false" outlineLevel="0" collapsed="false">
      <c r="A16" s="1" t="n">
        <v>42</v>
      </c>
      <c r="B16" s="1" t="n">
        <v>1</v>
      </c>
      <c r="C16" s="1" t="n">
        <v>4</v>
      </c>
      <c r="D16" s="1" t="s">
        <v>2442</v>
      </c>
      <c r="E16" s="5" t="s">
        <v>362</v>
      </c>
      <c r="F16" s="1" t="s">
        <v>2446</v>
      </c>
      <c r="G16" s="1" t="s">
        <v>12</v>
      </c>
      <c r="H16" s="3" t="s">
        <v>2632</v>
      </c>
      <c r="I16" s="1" t="s">
        <v>2447</v>
      </c>
    </row>
    <row r="17" customFormat="false" ht="14.5" hidden="false" customHeight="false" outlineLevel="0" collapsed="false">
      <c r="A17" s="5" t="n">
        <v>54</v>
      </c>
      <c r="B17" s="5" t="n">
        <v>1</v>
      </c>
      <c r="C17" s="5" t="n">
        <v>1</v>
      </c>
      <c r="D17" s="5" t="s">
        <v>1551</v>
      </c>
      <c r="E17" s="5" t="s">
        <v>511</v>
      </c>
      <c r="F17" s="5" t="s">
        <v>2360</v>
      </c>
      <c r="G17" s="5" t="s">
        <v>2633</v>
      </c>
      <c r="H17" s="5"/>
      <c r="I17" s="5" t="s">
        <v>2458</v>
      </c>
    </row>
    <row r="18" customFormat="false" ht="14.5" hidden="false" customHeight="false" outlineLevel="0" collapsed="false">
      <c r="A18" s="1" t="n">
        <v>54</v>
      </c>
      <c r="B18" s="1" t="n">
        <v>1</v>
      </c>
      <c r="C18" s="1" t="n">
        <v>2</v>
      </c>
      <c r="D18" s="1" t="s">
        <v>2459</v>
      </c>
      <c r="E18" s="5" t="s">
        <v>511</v>
      </c>
      <c r="F18" s="1" t="s">
        <v>2360</v>
      </c>
      <c r="G18" s="1" t="s">
        <v>2008</v>
      </c>
      <c r="H18" s="1"/>
      <c r="I18" s="1" t="s">
        <v>2460</v>
      </c>
    </row>
    <row r="19" customFormat="false" ht="14.5" hidden="false" customHeight="false" outlineLevel="0" collapsed="false">
      <c r="A19" s="5" t="n">
        <v>54</v>
      </c>
      <c r="B19" s="5" t="n">
        <v>2</v>
      </c>
      <c r="C19" s="5" t="n">
        <v>2</v>
      </c>
      <c r="D19" s="5" t="s">
        <v>2462</v>
      </c>
      <c r="E19" s="1" t="s">
        <v>16</v>
      </c>
      <c r="F19" s="5" t="s">
        <v>2463</v>
      </c>
      <c r="G19" s="5" t="s">
        <v>2634</v>
      </c>
      <c r="H19" s="5"/>
      <c r="I19" s="5" t="s">
        <v>2464</v>
      </c>
    </row>
    <row r="20" customFormat="false" ht="14.5" hidden="false" customHeight="false" outlineLevel="0" collapsed="false">
      <c r="A20" s="1" t="n">
        <v>54</v>
      </c>
      <c r="B20" s="1" t="n">
        <v>2</v>
      </c>
      <c r="C20" s="1" t="n">
        <v>2</v>
      </c>
      <c r="D20" s="1" t="s">
        <v>1551</v>
      </c>
      <c r="E20" s="5" t="s">
        <v>511</v>
      </c>
      <c r="F20" s="1" t="s">
        <v>2635</v>
      </c>
      <c r="G20" s="1" t="s">
        <v>1126</v>
      </c>
      <c r="H20" s="3" t="s">
        <v>2636</v>
      </c>
      <c r="I20" s="1" t="s">
        <v>2466</v>
      </c>
    </row>
    <row r="21" customFormat="false" ht="14.5" hidden="false" customHeight="false" outlineLevel="0" collapsed="false">
      <c r="A21" s="1" t="n">
        <v>54</v>
      </c>
      <c r="B21" s="1" t="n">
        <v>2</v>
      </c>
      <c r="C21" s="21" t="n">
        <v>3</v>
      </c>
      <c r="D21" s="1" t="s">
        <v>15</v>
      </c>
      <c r="E21" s="1" t="s">
        <v>16</v>
      </c>
      <c r="F21" s="1" t="s">
        <v>17</v>
      </c>
      <c r="G21" s="1" t="s">
        <v>18</v>
      </c>
      <c r="H21" s="3" t="s">
        <v>19</v>
      </c>
      <c r="I21" s="1" t="s">
        <v>20</v>
      </c>
    </row>
    <row r="22" customFormat="false" ht="14.5" hidden="false" customHeight="false" outlineLevel="0" collapsed="false">
      <c r="A22" s="5" t="n">
        <v>54</v>
      </c>
      <c r="B22" s="5" t="n">
        <v>2</v>
      </c>
      <c r="C22" s="5" t="n">
        <v>3</v>
      </c>
      <c r="D22" s="5" t="s">
        <v>1990</v>
      </c>
      <c r="E22" s="5" t="s">
        <v>511</v>
      </c>
      <c r="F22" s="5" t="s">
        <v>2360</v>
      </c>
      <c r="G22" s="5" t="s">
        <v>2008</v>
      </c>
      <c r="H22" s="5"/>
      <c r="I22" s="5" t="s">
        <v>2467</v>
      </c>
    </row>
    <row r="23" customFormat="false" ht="14.5" hidden="false" customHeight="false" outlineLevel="0" collapsed="false">
      <c r="A23" s="1" t="n">
        <v>58</v>
      </c>
      <c r="B23" s="1" t="n">
        <v>1</v>
      </c>
      <c r="C23" s="1" t="n">
        <v>1</v>
      </c>
      <c r="D23" s="1" t="s">
        <v>2475</v>
      </c>
      <c r="E23" s="5" t="s">
        <v>528</v>
      </c>
      <c r="F23" s="1" t="s">
        <v>2360</v>
      </c>
      <c r="G23" s="5" t="s">
        <v>2027</v>
      </c>
      <c r="H23" s="1"/>
      <c r="I23" s="1" t="s">
        <v>2476</v>
      </c>
    </row>
    <row r="24" customFormat="false" ht="14.5" hidden="false" customHeight="false" outlineLevel="0" collapsed="false">
      <c r="A24" s="5" t="n">
        <v>58</v>
      </c>
      <c r="B24" s="5" t="n">
        <v>1</v>
      </c>
      <c r="C24" s="5" t="n">
        <v>2</v>
      </c>
      <c r="D24" s="5" t="s">
        <v>2477</v>
      </c>
      <c r="E24" s="5" t="s">
        <v>528</v>
      </c>
      <c r="F24" s="5" t="s">
        <v>2360</v>
      </c>
      <c r="G24" s="5" t="s">
        <v>2027</v>
      </c>
      <c r="H24" s="5"/>
      <c r="I24" s="5" t="s">
        <v>2478</v>
      </c>
    </row>
    <row r="25" customFormat="false" ht="14.5" hidden="false" customHeight="false" outlineLevel="0" collapsed="false">
      <c r="A25" s="1" t="n">
        <v>58</v>
      </c>
      <c r="B25" s="1" t="n">
        <v>1</v>
      </c>
      <c r="C25" s="1" t="n">
        <v>3</v>
      </c>
      <c r="D25" s="1" t="s">
        <v>2479</v>
      </c>
      <c r="E25" s="5" t="s">
        <v>528</v>
      </c>
      <c r="F25" s="5" t="s">
        <v>2360</v>
      </c>
      <c r="G25" s="1" t="s">
        <v>2637</v>
      </c>
      <c r="H25" s="1"/>
      <c r="I25" s="1" t="s">
        <v>2481</v>
      </c>
    </row>
    <row r="26" customFormat="false" ht="14.5" hidden="false" customHeight="false" outlineLevel="0" collapsed="false">
      <c r="A26" s="1" t="n">
        <v>58</v>
      </c>
      <c r="B26" s="1" t="n">
        <v>2</v>
      </c>
      <c r="C26" s="1" t="n">
        <v>2</v>
      </c>
      <c r="D26" s="1" t="s">
        <v>2475</v>
      </c>
      <c r="E26" s="5" t="s">
        <v>528</v>
      </c>
      <c r="F26" s="1" t="s">
        <v>2480</v>
      </c>
      <c r="G26" s="1" t="s">
        <v>2638</v>
      </c>
      <c r="H26" s="1"/>
      <c r="I26" s="1" t="s">
        <v>2483</v>
      </c>
    </row>
    <row r="27" customFormat="false" ht="14.5" hidden="false" customHeight="false" outlineLevel="0" collapsed="false">
      <c r="A27" s="5" t="n">
        <v>58</v>
      </c>
      <c r="B27" s="5" t="n">
        <v>2</v>
      </c>
      <c r="C27" s="5" t="n">
        <v>3</v>
      </c>
      <c r="D27" s="5" t="s">
        <v>2477</v>
      </c>
      <c r="E27" s="5" t="s">
        <v>528</v>
      </c>
      <c r="F27" s="5" t="s">
        <v>2480</v>
      </c>
      <c r="G27" s="1" t="s">
        <v>2638</v>
      </c>
      <c r="H27" s="5"/>
      <c r="I27" s="5" t="s">
        <v>2484</v>
      </c>
    </row>
    <row r="28" customFormat="false" ht="14.5" hidden="false" customHeight="false" outlineLevel="0" collapsed="false">
      <c r="A28" s="1" t="n">
        <v>58</v>
      </c>
      <c r="B28" s="1" t="n">
        <v>3</v>
      </c>
      <c r="C28" s="14" t="n">
        <v>3</v>
      </c>
      <c r="D28" s="1" t="s">
        <v>2475</v>
      </c>
      <c r="E28" s="5" t="s">
        <v>528</v>
      </c>
      <c r="F28" s="1" t="s">
        <v>2489</v>
      </c>
      <c r="G28" s="1" t="s">
        <v>2639</v>
      </c>
      <c r="H28" s="14"/>
      <c r="I28" s="1" t="s">
        <v>2490</v>
      </c>
    </row>
    <row r="29" customFormat="false" ht="14.5" hidden="false" customHeight="false" outlineLevel="0" collapsed="false">
      <c r="A29" s="5" t="n">
        <v>58</v>
      </c>
      <c r="B29" s="5" t="n">
        <v>3</v>
      </c>
      <c r="C29" s="5" t="n">
        <v>4</v>
      </c>
      <c r="D29" s="5" t="s">
        <v>2477</v>
      </c>
      <c r="E29" s="5" t="s">
        <v>528</v>
      </c>
      <c r="F29" s="5" t="s">
        <v>2489</v>
      </c>
      <c r="G29" s="1" t="s">
        <v>2639</v>
      </c>
      <c r="H29" s="5"/>
      <c r="I29" s="5" t="s">
        <v>2491</v>
      </c>
    </row>
    <row r="30" customFormat="false" ht="14.5" hidden="false" customHeight="false" outlineLevel="0" collapsed="false">
      <c r="A30" s="5" t="n">
        <v>65</v>
      </c>
      <c r="B30" s="5" t="n">
        <v>2</v>
      </c>
      <c r="C30" s="5" t="n">
        <v>2</v>
      </c>
      <c r="D30" s="5" t="s">
        <v>2503</v>
      </c>
      <c r="E30" s="1" t="s">
        <v>329</v>
      </c>
      <c r="F30" s="5" t="s">
        <v>2504</v>
      </c>
      <c r="G30" s="5" t="s">
        <v>2640</v>
      </c>
      <c r="H30" s="5"/>
      <c r="I30" s="5" t="s">
        <v>2505</v>
      </c>
    </row>
    <row r="31" customFormat="false" ht="14.5" hidden="false" customHeight="false" outlineLevel="0" collapsed="false">
      <c r="A31" s="5" t="n">
        <v>68</v>
      </c>
      <c r="B31" s="5" t="n">
        <v>3</v>
      </c>
      <c r="C31" s="5" t="n">
        <v>1</v>
      </c>
      <c r="D31" s="5" t="s">
        <v>2521</v>
      </c>
      <c r="E31" s="5" t="s">
        <v>607</v>
      </c>
      <c r="F31" s="5" t="s">
        <v>2531</v>
      </c>
      <c r="G31" s="5" t="s">
        <v>2008</v>
      </c>
      <c r="H31" s="5"/>
      <c r="I31" s="5" t="s">
        <v>2532</v>
      </c>
    </row>
    <row r="32" customFormat="false" ht="14.5" hidden="false" customHeight="false" outlineLevel="0" collapsed="false">
      <c r="A32" s="1" t="n">
        <v>68</v>
      </c>
      <c r="B32" s="1" t="n">
        <v>3</v>
      </c>
      <c r="C32" s="1" t="n">
        <v>3</v>
      </c>
      <c r="D32" s="1" t="s">
        <v>2535</v>
      </c>
      <c r="E32" s="5" t="s">
        <v>607</v>
      </c>
      <c r="F32" s="1" t="s">
        <v>2536</v>
      </c>
      <c r="G32" s="1" t="s">
        <v>2033</v>
      </c>
      <c r="H32" s="1"/>
      <c r="I32" s="1" t="s">
        <v>2537</v>
      </c>
    </row>
    <row r="33" customFormat="false" ht="14.5" hidden="false" customHeight="false" outlineLevel="0" collapsed="false">
      <c r="A33" s="5" t="n">
        <v>70</v>
      </c>
      <c r="B33" s="5" t="n">
        <v>3</v>
      </c>
      <c r="C33" s="5" t="n">
        <v>4</v>
      </c>
      <c r="D33" s="5" t="s">
        <v>2554</v>
      </c>
      <c r="E33" s="5" t="s">
        <v>619</v>
      </c>
      <c r="F33" s="5" t="s">
        <v>2555</v>
      </c>
      <c r="G33" s="5" t="s">
        <v>2008</v>
      </c>
      <c r="H33" s="5"/>
      <c r="I33" s="5" t="s">
        <v>2556</v>
      </c>
    </row>
    <row r="34" customFormat="false" ht="14.5" hidden="false" customHeight="false" outlineLevel="0" collapsed="false">
      <c r="A34" s="1" t="n">
        <v>78</v>
      </c>
      <c r="B34" s="1" t="n">
        <v>1</v>
      </c>
      <c r="C34" s="1" t="n">
        <v>2</v>
      </c>
      <c r="D34" s="1" t="s">
        <v>2559</v>
      </c>
      <c r="E34" s="5" t="s">
        <v>672</v>
      </c>
      <c r="F34" s="1" t="s">
        <v>2560</v>
      </c>
      <c r="G34" s="1" t="s">
        <v>2033</v>
      </c>
      <c r="H34" s="1"/>
      <c r="I34" s="1" t="s">
        <v>2561</v>
      </c>
    </row>
    <row r="35" customFormat="false" ht="14.5" hidden="false" customHeight="false" outlineLevel="0" collapsed="false">
      <c r="A35" s="5" t="n">
        <v>78</v>
      </c>
      <c r="B35" s="5" t="n">
        <v>3</v>
      </c>
      <c r="C35" s="5" t="n">
        <v>2</v>
      </c>
      <c r="D35" s="5" t="s">
        <v>2227</v>
      </c>
      <c r="E35" s="5" t="s">
        <v>672</v>
      </c>
      <c r="F35" s="5" t="s">
        <v>1513</v>
      </c>
      <c r="G35" s="5" t="s">
        <v>2641</v>
      </c>
      <c r="H35" s="5"/>
      <c r="I35" s="5" t="s">
        <v>2568</v>
      </c>
    </row>
    <row r="36" customFormat="false" ht="14.5" hidden="false" customHeight="false" outlineLevel="0" collapsed="false">
      <c r="A36" s="1" t="n">
        <v>83</v>
      </c>
      <c r="B36" s="1" t="n">
        <v>1</v>
      </c>
      <c r="C36" s="1" t="n">
        <v>1</v>
      </c>
      <c r="D36" s="1" t="s">
        <v>1105</v>
      </c>
      <c r="E36" s="1" t="s">
        <v>706</v>
      </c>
      <c r="F36" s="1" t="s">
        <v>2569</v>
      </c>
      <c r="G36" s="1" t="s">
        <v>5</v>
      </c>
      <c r="H36" s="3" t="s">
        <v>2642</v>
      </c>
      <c r="I36" s="1" t="s">
        <v>2570</v>
      </c>
    </row>
    <row r="37" customFormat="false" ht="14.5" hidden="false" customHeight="false" outlineLevel="0" collapsed="false">
      <c r="A37" s="5" t="n">
        <v>83</v>
      </c>
      <c r="B37" s="5" t="n">
        <v>1</v>
      </c>
      <c r="C37" s="5" t="n">
        <v>2</v>
      </c>
      <c r="D37" s="5" t="s">
        <v>2571</v>
      </c>
      <c r="E37" s="1" t="s">
        <v>706</v>
      </c>
      <c r="F37" s="5" t="s">
        <v>2572</v>
      </c>
      <c r="G37" s="5" t="s">
        <v>2008</v>
      </c>
      <c r="H37" s="5"/>
      <c r="I37" s="5" t="s">
        <v>2573</v>
      </c>
    </row>
    <row r="38" customFormat="false" ht="14.5" hidden="false" customHeight="false" outlineLevel="0" collapsed="false">
      <c r="A38" s="5" t="n">
        <v>145</v>
      </c>
      <c r="B38" s="5" t="n">
        <v>1</v>
      </c>
      <c r="C38" s="5" t="n">
        <v>1</v>
      </c>
      <c r="D38" s="5" t="s">
        <v>2582</v>
      </c>
      <c r="E38" s="5" t="s">
        <v>829</v>
      </c>
      <c r="F38" s="5" t="s">
        <v>2583</v>
      </c>
      <c r="G38" s="5" t="s">
        <v>2008</v>
      </c>
      <c r="H38" s="5"/>
      <c r="I38" s="5" t="s">
        <v>2584</v>
      </c>
    </row>
    <row r="39" customFormat="false" ht="14.5" hidden="false" customHeight="false" outlineLevel="0" collapsed="false">
      <c r="A39" s="1" t="n">
        <v>145</v>
      </c>
      <c r="B39" s="1" t="n">
        <v>2</v>
      </c>
      <c r="C39" s="1" t="n">
        <v>1</v>
      </c>
      <c r="D39" s="1" t="s">
        <v>2590</v>
      </c>
      <c r="E39" s="5" t="s">
        <v>829</v>
      </c>
      <c r="F39" s="1" t="s">
        <v>2591</v>
      </c>
      <c r="G39" s="1" t="s">
        <v>2008</v>
      </c>
      <c r="H39" s="1"/>
      <c r="I39" s="1" t="s">
        <v>2592</v>
      </c>
    </row>
    <row r="40" customFormat="false" ht="14.5" hidden="false" customHeight="false" outlineLevel="0" collapsed="false">
      <c r="A40" s="5" t="n">
        <v>145</v>
      </c>
      <c r="B40" s="5" t="n">
        <v>2</v>
      </c>
      <c r="C40" s="5" t="n">
        <v>2</v>
      </c>
      <c r="D40" s="5" t="s">
        <v>2593</v>
      </c>
      <c r="E40" s="5" t="s">
        <v>829</v>
      </c>
      <c r="F40" s="5" t="s">
        <v>2594</v>
      </c>
      <c r="G40" s="5" t="s">
        <v>2643</v>
      </c>
      <c r="H40" s="5"/>
      <c r="I40" s="5" t="s">
        <v>2595</v>
      </c>
    </row>
    <row r="41" customFormat="false" ht="14.5" hidden="false" customHeight="false" outlineLevel="0" collapsed="false">
      <c r="A41" s="1" t="n">
        <v>145</v>
      </c>
      <c r="B41" s="1" t="n">
        <v>2</v>
      </c>
      <c r="C41" s="1" t="n">
        <v>3</v>
      </c>
      <c r="D41" s="1" t="s">
        <v>2596</v>
      </c>
      <c r="E41" s="5" t="s">
        <v>829</v>
      </c>
      <c r="F41" s="1" t="s">
        <v>2597</v>
      </c>
      <c r="G41" s="1" t="s">
        <v>2005</v>
      </c>
      <c r="H41" s="1"/>
      <c r="I41" s="1" t="s">
        <v>2598</v>
      </c>
    </row>
    <row r="42" customFormat="false" ht="14.5" hidden="false" customHeight="false" outlineLevel="0" collapsed="false">
      <c r="A42" s="5" t="n">
        <v>145</v>
      </c>
      <c r="B42" s="5" t="n">
        <v>3</v>
      </c>
      <c r="C42" s="5" t="n">
        <v>1</v>
      </c>
      <c r="D42" s="5" t="s">
        <v>2585</v>
      </c>
      <c r="E42" s="5" t="s">
        <v>829</v>
      </c>
      <c r="F42" s="5" t="s">
        <v>2600</v>
      </c>
      <c r="G42" s="5" t="s">
        <v>2033</v>
      </c>
      <c r="H42" s="5"/>
      <c r="I42" s="5" t="s">
        <v>2601</v>
      </c>
    </row>
    <row r="43" customFormat="false" ht="14.5" hidden="false" customHeight="false" outlineLevel="0" collapsed="false">
      <c r="A43" s="1" t="n">
        <v>145</v>
      </c>
      <c r="B43" s="1" t="n">
        <v>3</v>
      </c>
      <c r="C43" s="1" t="n">
        <v>2</v>
      </c>
      <c r="D43" s="1" t="s">
        <v>2602</v>
      </c>
      <c r="E43" s="5" t="s">
        <v>829</v>
      </c>
      <c r="F43" s="1" t="s">
        <v>2600</v>
      </c>
      <c r="G43" s="1" t="s">
        <v>2033</v>
      </c>
      <c r="H43" s="1"/>
      <c r="I43" s="1" t="s">
        <v>2603</v>
      </c>
    </row>
    <row r="44" customFormat="false" ht="14.5" hidden="false" customHeight="false" outlineLevel="0" collapsed="false">
      <c r="A44" s="5" t="n">
        <v>145</v>
      </c>
      <c r="B44" s="5" t="n">
        <v>3</v>
      </c>
      <c r="C44" s="5" t="n">
        <v>3</v>
      </c>
      <c r="D44" s="5" t="s">
        <v>2604</v>
      </c>
      <c r="E44" s="5" t="s">
        <v>829</v>
      </c>
      <c r="F44" s="5" t="s">
        <v>2600</v>
      </c>
      <c r="G44" s="5" t="s">
        <v>2033</v>
      </c>
      <c r="H44" s="5"/>
      <c r="I44" s="5" t="s">
        <v>2605</v>
      </c>
    </row>
    <row r="45" customFormat="false" ht="14.5" hidden="false" customHeight="false" outlineLevel="0" collapsed="false">
      <c r="A45" s="1" t="n">
        <v>145</v>
      </c>
      <c r="B45" s="1" t="n">
        <v>3</v>
      </c>
      <c r="C45" s="1" t="n">
        <v>4</v>
      </c>
      <c r="D45" s="1" t="s">
        <v>2606</v>
      </c>
      <c r="E45" s="5" t="s">
        <v>829</v>
      </c>
      <c r="F45" s="1" t="s">
        <v>2600</v>
      </c>
      <c r="G45" s="1" t="s">
        <v>2033</v>
      </c>
      <c r="H45" s="1"/>
      <c r="I45" s="1" t="s">
        <v>2607</v>
      </c>
    </row>
    <row r="46" customFormat="false" ht="14.5" hidden="false" customHeight="false" outlineLevel="0" collapsed="false">
      <c r="A46" s="5" t="n">
        <v>145</v>
      </c>
      <c r="B46" s="5" t="n">
        <v>3</v>
      </c>
      <c r="C46" s="5" t="n">
        <v>5</v>
      </c>
      <c r="D46" s="5" t="s">
        <v>2587</v>
      </c>
      <c r="E46" s="5" t="s">
        <v>829</v>
      </c>
      <c r="F46" s="5" t="s">
        <v>2600</v>
      </c>
      <c r="G46" s="5" t="s">
        <v>2033</v>
      </c>
      <c r="H46" s="5"/>
      <c r="I46" s="5" t="s">
        <v>2608</v>
      </c>
    </row>
    <row r="47" customFormat="false" ht="14.5" hidden="false" customHeight="false" outlineLevel="0" collapsed="false">
      <c r="A47" s="1" t="n">
        <v>192</v>
      </c>
      <c r="B47" s="1" t="n">
        <v>1</v>
      </c>
      <c r="C47" s="1" t="n">
        <v>1</v>
      </c>
      <c r="D47" s="1" t="s">
        <v>2609</v>
      </c>
      <c r="E47" s="26" t="s">
        <v>843</v>
      </c>
      <c r="F47" s="1" t="s">
        <v>2610</v>
      </c>
      <c r="G47" s="1" t="s">
        <v>2033</v>
      </c>
      <c r="H47" s="1"/>
      <c r="I47" s="1" t="s">
        <v>2611</v>
      </c>
    </row>
  </sheetData>
  <autoFilter ref="A1:I1"/>
  <hyperlinks>
    <hyperlink ref="H3" r:id="rId1" location="h-06-users-are-credited-more-tokens-when-paying-back-debt-with-registertradeandborrow" display="https://code4rena.com/reports/2021-04-marginswap/#h-06-users-are-credited-more-tokens-when-paying-back-debt-with-registertradeandborrow"/>
    <hyperlink ref="H8" r:id="rId2" location="h-02-wrong-usage-of-positionid-in-concentratedliquiditypoolmanager" display="https://code4rena.com/reports/2021-09-sushitrident-2/#h-02-wrong-usage-of-positionid-in-concentratedliquiditypoolmanager"/>
    <hyperlink ref="H9" r:id="rId3" location="h-02-wrong-usage-of-positionid-in-concentratedliquiditypoolmanager" display="https://code4rena.com/reports/2021-09-sushitrident-2/#h-02-wrong-usage-of-positionid-in-concentratedliquiditypoolmanager"/>
    <hyperlink ref="H10" r:id="rId4" location="h-02-wrong-usage-of-positionid-in-concentratedliquiditypoolmanager" display="https://code4rena.com/reports/2021-09-sushitrident-2/#h-02-wrong-usage-of-positionid-in-concentratedliquiditypoolmanager"/>
    <hyperlink ref="H15" r:id="rId5" location="h-02-feepoolv0soldistributemochi-will-unexpectedly-flush-treasuryshare-causing-the-protocol-fee-cannot-be-properly-accounted-for-and-collected" display="https://code4rena.com/reports/2021-10-mochi/#h-02-feepoolv0soldistributemochi-will-unexpectedly-flush-treasuryshare-causing-the-protocol-fee-cannot-be-properly-accounted-for-and-collected"/>
    <hyperlink ref="H16" r:id="rId6" location="h-06-referrer-can-drain-referralfeepoolv0" display="https://code4rena.com/reports/2021-10-mochi/#h-06-referrer-can-drain-referralfeepoolv0"/>
    <hyperlink ref="H20" r:id="rId7" location="h-03-mixintransfersoltransferfrom-wrong-implementation-can-potentially-allows-attackers-to-reverse-transfer-and-cause-fund-loss-to-the-users" display="https://code4rena.com/reports/2021-11-unlock/#h-03-mixintransfersoltransferfrom-wrong-implementation-can-potentially-allows-attackers-to-reverse-transfer-and-cause-fund-loss-to-the-users"/>
    <hyperlink ref="H21" r:id="rId8" location="overview" display="https://code4rena.com/reports/2021-11-unlock/#overview"/>
    <hyperlink ref="H36" r:id="rId9" location="h-02-masterchef-improper-handling-of-deposit-fee" display="https://code4rena.com/reports/2022-02-concur/#h-02-masterchef-improper-handling-of-deposit-fee"/>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71" colorId="64" zoomScale="100" zoomScaleNormal="100" zoomScalePageLayoutView="100" workbookViewId="0">
      <selection pane="topLeft" activeCell="G84" activeCellId="1" sqref="G14:I22 G84"/>
    </sheetView>
  </sheetViews>
  <sheetFormatPr defaultColWidth="8.4296875" defaultRowHeight="15" zeroHeight="false" outlineLevelRow="0" outlineLevelCol="0"/>
  <cols>
    <col collapsed="false" customWidth="true" hidden="false" outlineLevel="0" max="5" min="5" style="0" width="14.54"/>
    <col collapsed="false" customWidth="true" hidden="false" outlineLevel="0" max="6" min="6" style="0" width="38.18"/>
  </cols>
  <sheetData>
    <row r="1" customFormat="false" ht="15" hidden="false" customHeight="false" outlineLevel="0" collapsed="false">
      <c r="A1" s="37" t="s">
        <v>1161</v>
      </c>
      <c r="B1" s="37" t="s">
        <v>21</v>
      </c>
      <c r="C1" s="37" t="s">
        <v>2084</v>
      </c>
      <c r="D1" s="37" t="s">
        <v>1163</v>
      </c>
      <c r="E1" s="37" t="s">
        <v>2085</v>
      </c>
      <c r="F1" s="37" t="s">
        <v>1165</v>
      </c>
      <c r="G1" s="37" t="s">
        <v>1168</v>
      </c>
    </row>
    <row r="2" customFormat="false" ht="15" hidden="false" customHeight="false" outlineLevel="0" collapsed="false">
      <c r="A2" s="1" t="s">
        <v>895</v>
      </c>
      <c r="B2" s="1" t="n">
        <v>3</v>
      </c>
      <c r="C2" s="1" t="n">
        <v>1</v>
      </c>
      <c r="D2" s="1" t="n">
        <v>1</v>
      </c>
      <c r="E2" s="1" t="s">
        <v>2644</v>
      </c>
      <c r="F2" s="1" t="s">
        <v>2645</v>
      </c>
      <c r="G2" s="1" t="s">
        <v>2646</v>
      </c>
    </row>
    <row r="3" customFormat="false" ht="15" hidden="false" customHeight="false" outlineLevel="0" collapsed="false">
      <c r="A3" s="1" t="s">
        <v>900</v>
      </c>
      <c r="B3" s="1" t="n">
        <v>3</v>
      </c>
      <c r="C3" s="1" t="n">
        <v>2</v>
      </c>
      <c r="D3" s="1" t="n">
        <v>1</v>
      </c>
      <c r="E3" s="1" t="s">
        <v>2644</v>
      </c>
      <c r="F3" s="1" t="s">
        <v>2645</v>
      </c>
      <c r="G3" s="1" t="s">
        <v>2647</v>
      </c>
    </row>
    <row r="4" customFormat="false" ht="15" hidden="false" customHeight="false" outlineLevel="0" collapsed="false">
      <c r="A4" s="5" t="s">
        <v>905</v>
      </c>
      <c r="B4" s="5" t="n">
        <v>3</v>
      </c>
      <c r="C4" s="5" t="n">
        <v>3</v>
      </c>
      <c r="D4" s="5" t="n">
        <v>1</v>
      </c>
      <c r="E4" s="5" t="s">
        <v>2648</v>
      </c>
      <c r="F4" s="1" t="s">
        <v>2649</v>
      </c>
      <c r="G4" s="5" t="s">
        <v>2650</v>
      </c>
    </row>
    <row r="5" customFormat="false" ht="15" hidden="false" customHeight="false" outlineLevel="0" collapsed="false">
      <c r="A5" s="1" t="s">
        <v>905</v>
      </c>
      <c r="B5" s="1" t="n">
        <v>3</v>
      </c>
      <c r="C5" s="1" t="n">
        <v>3</v>
      </c>
      <c r="D5" s="1" t="n">
        <v>2</v>
      </c>
      <c r="E5" s="1" t="s">
        <v>2651</v>
      </c>
      <c r="F5" s="1" t="s">
        <v>2649</v>
      </c>
      <c r="G5" s="1" t="s">
        <v>2652</v>
      </c>
    </row>
    <row r="6" customFormat="false" ht="15" hidden="false" customHeight="false" outlineLevel="0" collapsed="false">
      <c r="A6" s="5" t="s">
        <v>1214</v>
      </c>
      <c r="B6" s="5" t="n">
        <v>5</v>
      </c>
      <c r="C6" s="5" t="n">
        <v>1</v>
      </c>
      <c r="D6" s="5" t="n">
        <v>1</v>
      </c>
      <c r="E6" s="5" t="s">
        <v>2653</v>
      </c>
      <c r="F6" s="1" t="s">
        <v>2654</v>
      </c>
      <c r="G6" s="5" t="s">
        <v>2655</v>
      </c>
    </row>
    <row r="7" customFormat="false" ht="15" hidden="false" customHeight="false" outlineLevel="0" collapsed="false">
      <c r="A7" s="1" t="s">
        <v>1214</v>
      </c>
      <c r="B7" s="1" t="n">
        <v>5</v>
      </c>
      <c r="C7" s="1" t="n">
        <v>1</v>
      </c>
      <c r="D7" s="1" t="n">
        <v>2</v>
      </c>
      <c r="E7" s="1" t="s">
        <v>2656</v>
      </c>
      <c r="F7" s="1" t="s">
        <v>2649</v>
      </c>
      <c r="G7" s="1" t="s">
        <v>2657</v>
      </c>
    </row>
    <row r="8" customFormat="false" ht="15" hidden="false" customHeight="false" outlineLevel="0" collapsed="false">
      <c r="A8" s="5" t="s">
        <v>1214</v>
      </c>
      <c r="B8" s="5" t="n">
        <v>5</v>
      </c>
      <c r="C8" s="5" t="n">
        <v>1</v>
      </c>
      <c r="D8" s="5" t="n">
        <v>3</v>
      </c>
      <c r="E8" s="5" t="s">
        <v>2658</v>
      </c>
      <c r="F8" s="1" t="s">
        <v>2645</v>
      </c>
      <c r="G8" s="5" t="s">
        <v>2659</v>
      </c>
    </row>
    <row r="9" customFormat="false" ht="15" hidden="false" customHeight="false" outlineLevel="0" collapsed="false">
      <c r="A9" s="1" t="s">
        <v>1214</v>
      </c>
      <c r="B9" s="1" t="n">
        <v>5</v>
      </c>
      <c r="C9" s="1" t="n">
        <v>1</v>
      </c>
      <c r="D9" s="1" t="n">
        <v>4</v>
      </c>
      <c r="E9" s="1" t="s">
        <v>1259</v>
      </c>
      <c r="F9" s="1" t="s">
        <v>2649</v>
      </c>
      <c r="G9" s="1" t="s">
        <v>2660</v>
      </c>
    </row>
    <row r="10" customFormat="false" ht="15" hidden="false" customHeight="false" outlineLevel="0" collapsed="false">
      <c r="A10" s="5" t="s">
        <v>1214</v>
      </c>
      <c r="B10" s="5" t="n">
        <v>5</v>
      </c>
      <c r="C10" s="5" t="n">
        <v>1</v>
      </c>
      <c r="D10" s="5" t="n">
        <v>1</v>
      </c>
      <c r="E10" s="5" t="s">
        <v>1259</v>
      </c>
      <c r="F10" s="1" t="s">
        <v>2645</v>
      </c>
      <c r="G10" s="5" t="s">
        <v>2661</v>
      </c>
    </row>
    <row r="11" customFormat="false" ht="15" hidden="false" customHeight="false" outlineLevel="0" collapsed="false">
      <c r="A11" s="1" t="s">
        <v>1214</v>
      </c>
      <c r="B11" s="1" t="n">
        <v>5</v>
      </c>
      <c r="C11" s="1" t="n">
        <v>1</v>
      </c>
      <c r="D11" s="1" t="n">
        <v>2</v>
      </c>
      <c r="E11" s="1" t="s">
        <v>1453</v>
      </c>
      <c r="F11" s="1" t="s">
        <v>2649</v>
      </c>
      <c r="G11" s="1" t="s">
        <v>2662</v>
      </c>
    </row>
    <row r="12" customFormat="false" ht="15" hidden="false" customHeight="false" outlineLevel="0" collapsed="false">
      <c r="A12" s="5" t="s">
        <v>1214</v>
      </c>
      <c r="B12" s="5" t="n">
        <v>5</v>
      </c>
      <c r="C12" s="5" t="n">
        <v>1</v>
      </c>
      <c r="D12" s="5" t="n">
        <v>3</v>
      </c>
      <c r="E12" s="5" t="s">
        <v>2663</v>
      </c>
      <c r="F12" s="1" t="s">
        <v>2654</v>
      </c>
      <c r="G12" s="5" t="s">
        <v>2664</v>
      </c>
    </row>
    <row r="13" customFormat="false" ht="15" hidden="false" customHeight="false" outlineLevel="0" collapsed="false">
      <c r="A13" s="1" t="s">
        <v>1214</v>
      </c>
      <c r="B13" s="1" t="n">
        <v>5</v>
      </c>
      <c r="C13" s="1" t="n">
        <v>1</v>
      </c>
      <c r="D13" s="1" t="n">
        <v>4</v>
      </c>
      <c r="E13" s="1" t="s">
        <v>2665</v>
      </c>
      <c r="F13" s="1" t="s">
        <v>2649</v>
      </c>
      <c r="G13" s="1" t="s">
        <v>2666</v>
      </c>
    </row>
    <row r="14" customFormat="false" ht="15" hidden="false" customHeight="false" outlineLevel="0" collapsed="false">
      <c r="A14" s="5" t="s">
        <v>1214</v>
      </c>
      <c r="B14" s="5" t="n">
        <v>5</v>
      </c>
      <c r="C14" s="5" t="n">
        <v>1</v>
      </c>
      <c r="D14" s="5" t="n">
        <v>5</v>
      </c>
      <c r="E14" s="5" t="s">
        <v>2667</v>
      </c>
      <c r="F14" s="1" t="s">
        <v>2654</v>
      </c>
      <c r="G14" s="5" t="s">
        <v>2668</v>
      </c>
    </row>
    <row r="15" customFormat="false" ht="15" hidden="false" customHeight="false" outlineLevel="0" collapsed="false">
      <c r="A15" s="5" t="s">
        <v>1227</v>
      </c>
      <c r="B15" s="5" t="n">
        <v>5</v>
      </c>
      <c r="C15" s="5" t="n">
        <v>2</v>
      </c>
      <c r="D15" s="5" t="n">
        <v>1</v>
      </c>
      <c r="E15" s="5" t="s">
        <v>2653</v>
      </c>
      <c r="F15" s="1" t="s">
        <v>2654</v>
      </c>
      <c r="G15" s="5" t="s">
        <v>2669</v>
      </c>
    </row>
    <row r="16" customFormat="false" ht="15" hidden="false" customHeight="false" outlineLevel="0" collapsed="false">
      <c r="A16" s="1" t="s">
        <v>1227</v>
      </c>
      <c r="B16" s="1" t="n">
        <v>5</v>
      </c>
      <c r="C16" s="1" t="n">
        <v>2</v>
      </c>
      <c r="D16" s="1" t="n">
        <v>2</v>
      </c>
      <c r="E16" s="1" t="s">
        <v>2656</v>
      </c>
      <c r="F16" s="1" t="s">
        <v>2645</v>
      </c>
      <c r="G16" s="1" t="s">
        <v>2670</v>
      </c>
    </row>
    <row r="17" customFormat="false" ht="15" hidden="false" customHeight="false" outlineLevel="0" collapsed="false">
      <c r="A17" s="5" t="s">
        <v>1252</v>
      </c>
      <c r="B17" s="5" t="n">
        <v>5</v>
      </c>
      <c r="C17" s="5" t="n">
        <v>3</v>
      </c>
      <c r="D17" s="5" t="n">
        <v>1</v>
      </c>
      <c r="E17" s="5" t="s">
        <v>2656</v>
      </c>
      <c r="F17" s="1" t="s">
        <v>2645</v>
      </c>
      <c r="G17" s="5" t="s">
        <v>2671</v>
      </c>
    </row>
    <row r="18" customFormat="false" ht="15" hidden="false" customHeight="false" outlineLevel="0" collapsed="false">
      <c r="A18" s="1" t="s">
        <v>1252</v>
      </c>
      <c r="B18" s="1" t="n">
        <v>5</v>
      </c>
      <c r="C18" s="1" t="n">
        <v>3</v>
      </c>
      <c r="D18" s="1" t="n">
        <v>1</v>
      </c>
      <c r="E18" s="1" t="s">
        <v>1259</v>
      </c>
      <c r="F18" s="1" t="s">
        <v>2645</v>
      </c>
      <c r="G18" s="1" t="s">
        <v>2672</v>
      </c>
    </row>
    <row r="19" customFormat="false" ht="15" hidden="false" customHeight="false" outlineLevel="0" collapsed="false">
      <c r="A19" s="5" t="s">
        <v>1252</v>
      </c>
      <c r="B19" s="5" t="n">
        <v>5</v>
      </c>
      <c r="C19" s="5" t="n">
        <v>3</v>
      </c>
      <c r="D19" s="5" t="n">
        <v>2</v>
      </c>
      <c r="E19" s="5" t="s">
        <v>2673</v>
      </c>
      <c r="F19" s="1" t="s">
        <v>2649</v>
      </c>
      <c r="G19" s="5" t="s">
        <v>2674</v>
      </c>
    </row>
    <row r="20" customFormat="false" ht="15" hidden="false" customHeight="false" outlineLevel="0" collapsed="false">
      <c r="A20" s="1" t="s">
        <v>1252</v>
      </c>
      <c r="B20" s="1" t="n">
        <v>5</v>
      </c>
      <c r="C20" s="1" t="n">
        <v>3</v>
      </c>
      <c r="D20" s="1" t="n">
        <v>3</v>
      </c>
      <c r="E20" s="1" t="s">
        <v>2667</v>
      </c>
      <c r="F20" s="1" t="s">
        <v>2654</v>
      </c>
      <c r="G20" s="1" t="s">
        <v>2675</v>
      </c>
    </row>
    <row r="21" customFormat="false" ht="15" hidden="false" customHeight="false" outlineLevel="0" collapsed="false">
      <c r="A21" s="1" t="s">
        <v>2676</v>
      </c>
      <c r="B21" s="1" t="n">
        <v>8</v>
      </c>
      <c r="C21" s="1" t="n">
        <v>2</v>
      </c>
      <c r="D21" s="1" t="n">
        <v>1</v>
      </c>
      <c r="E21" s="1" t="s">
        <v>2677</v>
      </c>
      <c r="F21" s="1" t="s">
        <v>2649</v>
      </c>
      <c r="G21" s="1" t="s">
        <v>2678</v>
      </c>
    </row>
    <row r="22" customFormat="false" ht="15" hidden="false" customHeight="false" outlineLevel="0" collapsed="false">
      <c r="A22" s="5" t="s">
        <v>2676</v>
      </c>
      <c r="B22" s="5" t="n">
        <v>8</v>
      </c>
      <c r="C22" s="5" t="n">
        <v>2</v>
      </c>
      <c r="D22" s="5" t="n">
        <v>2</v>
      </c>
      <c r="E22" s="5" t="s">
        <v>2679</v>
      </c>
      <c r="F22" s="1" t="s">
        <v>2654</v>
      </c>
      <c r="G22" s="5" t="s">
        <v>2680</v>
      </c>
    </row>
    <row r="23" customFormat="false" ht="15" hidden="false" customHeight="false" outlineLevel="0" collapsed="false">
      <c r="A23" s="1" t="s">
        <v>2676</v>
      </c>
      <c r="B23" s="1" t="n">
        <v>8</v>
      </c>
      <c r="C23" s="1" t="n">
        <v>2</v>
      </c>
      <c r="D23" s="1" t="n">
        <v>3</v>
      </c>
      <c r="E23" s="1" t="s">
        <v>1105</v>
      </c>
      <c r="F23" s="1" t="s">
        <v>2654</v>
      </c>
      <c r="G23" s="1" t="s">
        <v>2681</v>
      </c>
    </row>
    <row r="24" customFormat="false" ht="15" hidden="false" customHeight="false" outlineLevel="0" collapsed="false">
      <c r="A24" s="1" t="s">
        <v>2682</v>
      </c>
      <c r="B24" s="1" t="n">
        <v>10</v>
      </c>
      <c r="C24" s="1" t="n">
        <v>1</v>
      </c>
      <c r="D24" s="1" t="n">
        <v>1</v>
      </c>
      <c r="E24" s="1" t="s">
        <v>1303</v>
      </c>
      <c r="F24" s="1" t="s">
        <v>2649</v>
      </c>
      <c r="G24" s="1" t="s">
        <v>2683</v>
      </c>
    </row>
    <row r="25" customFormat="false" ht="15" hidden="false" customHeight="false" outlineLevel="0" collapsed="false">
      <c r="A25" s="5" t="s">
        <v>2682</v>
      </c>
      <c r="B25" s="5" t="n">
        <v>10</v>
      </c>
      <c r="C25" s="5" t="n">
        <v>1</v>
      </c>
      <c r="D25" s="5" t="n">
        <v>2</v>
      </c>
      <c r="E25" s="5" t="s">
        <v>2684</v>
      </c>
      <c r="F25" s="1" t="s">
        <v>2649</v>
      </c>
      <c r="G25" s="5" t="s">
        <v>2685</v>
      </c>
    </row>
    <row r="26" customFormat="false" ht="15" hidden="false" customHeight="false" outlineLevel="0" collapsed="false">
      <c r="A26" s="1" t="s">
        <v>2682</v>
      </c>
      <c r="B26" s="1" t="n">
        <v>10</v>
      </c>
      <c r="C26" s="1" t="n">
        <v>1</v>
      </c>
      <c r="D26" s="1" t="n">
        <v>3</v>
      </c>
      <c r="E26" s="1" t="s">
        <v>2686</v>
      </c>
      <c r="F26" s="1" t="s">
        <v>2645</v>
      </c>
      <c r="G26" s="1" t="s">
        <v>2687</v>
      </c>
    </row>
    <row r="27" customFormat="false" ht="15" hidden="false" customHeight="false" outlineLevel="0" collapsed="false">
      <c r="A27" s="5" t="s">
        <v>2682</v>
      </c>
      <c r="B27" s="5" t="n">
        <v>10</v>
      </c>
      <c r="C27" s="5" t="n">
        <v>1</v>
      </c>
      <c r="D27" s="5" t="n">
        <v>4</v>
      </c>
      <c r="E27" s="5" t="s">
        <v>2688</v>
      </c>
      <c r="F27" s="1" t="s">
        <v>2654</v>
      </c>
      <c r="G27" s="5" t="s">
        <v>2689</v>
      </c>
    </row>
    <row r="28" customFormat="false" ht="15" hidden="false" customHeight="false" outlineLevel="0" collapsed="false">
      <c r="A28" s="1" t="s">
        <v>2690</v>
      </c>
      <c r="B28" s="1" t="n">
        <v>12</v>
      </c>
      <c r="C28" s="1" t="n">
        <v>1</v>
      </c>
      <c r="D28" s="1" t="n">
        <v>1</v>
      </c>
      <c r="E28" s="1" t="s">
        <v>2691</v>
      </c>
      <c r="F28" s="1" t="s">
        <v>2645</v>
      </c>
      <c r="G28" s="1" t="s">
        <v>2692</v>
      </c>
    </row>
    <row r="29" customFormat="false" ht="15" hidden="false" customHeight="false" outlineLevel="0" collapsed="false">
      <c r="A29" s="5" t="s">
        <v>2690</v>
      </c>
      <c r="B29" s="5" t="n">
        <v>12</v>
      </c>
      <c r="C29" s="5" t="n">
        <v>1</v>
      </c>
      <c r="D29" s="5" t="n">
        <v>1</v>
      </c>
      <c r="E29" s="5" t="s">
        <v>2693</v>
      </c>
      <c r="F29" s="1" t="s">
        <v>2649</v>
      </c>
      <c r="G29" s="5" t="s">
        <v>2694</v>
      </c>
    </row>
    <row r="30" customFormat="false" ht="15" hidden="false" customHeight="false" outlineLevel="0" collapsed="false">
      <c r="A30" s="1" t="s">
        <v>2690</v>
      </c>
      <c r="B30" s="1" t="n">
        <v>12</v>
      </c>
      <c r="C30" s="1" t="n">
        <v>1</v>
      </c>
      <c r="D30" s="1" t="n">
        <v>1</v>
      </c>
      <c r="E30" s="1" t="s">
        <v>2695</v>
      </c>
      <c r="F30" s="1" t="s">
        <v>2654</v>
      </c>
      <c r="G30" s="1" t="s">
        <v>2696</v>
      </c>
    </row>
    <row r="31" customFormat="false" ht="15" hidden="false" customHeight="false" outlineLevel="0" collapsed="false">
      <c r="A31" s="5" t="s">
        <v>2697</v>
      </c>
      <c r="B31" s="5" t="n">
        <v>12</v>
      </c>
      <c r="C31" s="5" t="n">
        <v>2</v>
      </c>
      <c r="D31" s="5" t="n">
        <v>1</v>
      </c>
      <c r="E31" s="5" t="s">
        <v>2698</v>
      </c>
      <c r="F31" s="1" t="s">
        <v>2645</v>
      </c>
      <c r="G31" s="5" t="s">
        <v>2699</v>
      </c>
    </row>
    <row r="32" customFormat="false" ht="15" hidden="false" customHeight="false" outlineLevel="0" collapsed="false">
      <c r="A32" s="1" t="s">
        <v>2697</v>
      </c>
      <c r="B32" s="1" t="n">
        <v>12</v>
      </c>
      <c r="C32" s="1" t="n">
        <v>2</v>
      </c>
      <c r="D32" s="1" t="n">
        <v>3</v>
      </c>
      <c r="E32" s="1" t="s">
        <v>2700</v>
      </c>
      <c r="F32" s="1" t="s">
        <v>2654</v>
      </c>
      <c r="G32" s="1" t="s">
        <v>2701</v>
      </c>
    </row>
    <row r="33" customFormat="false" ht="15" hidden="false" customHeight="false" outlineLevel="0" collapsed="false">
      <c r="A33" s="5" t="s">
        <v>2697</v>
      </c>
      <c r="B33" s="5" t="n">
        <v>12</v>
      </c>
      <c r="C33" s="5" t="n">
        <v>2</v>
      </c>
      <c r="D33" s="5" t="n">
        <v>1</v>
      </c>
      <c r="E33" s="5" t="s">
        <v>2702</v>
      </c>
      <c r="F33" s="5" t="s">
        <v>1557</v>
      </c>
      <c r="G33" s="5" t="s">
        <v>2703</v>
      </c>
    </row>
    <row r="34" customFormat="false" ht="15" hidden="false" customHeight="false" outlineLevel="0" collapsed="false">
      <c r="A34" s="5" t="s">
        <v>2697</v>
      </c>
      <c r="B34" s="5" t="n">
        <v>12</v>
      </c>
      <c r="C34" s="5" t="n">
        <v>2</v>
      </c>
      <c r="D34" s="5" t="n">
        <v>3</v>
      </c>
      <c r="E34" s="5" t="s">
        <v>2704</v>
      </c>
      <c r="F34" s="5" t="s">
        <v>2705</v>
      </c>
      <c r="G34" s="5" t="s">
        <v>2706</v>
      </c>
    </row>
    <row r="35" customFormat="false" ht="15" hidden="false" customHeight="false" outlineLevel="0" collapsed="false">
      <c r="A35" s="5" t="s">
        <v>2707</v>
      </c>
      <c r="B35" s="5" t="n">
        <v>12</v>
      </c>
      <c r="C35" s="5" t="n">
        <v>3</v>
      </c>
      <c r="D35" s="5" t="n">
        <v>1</v>
      </c>
      <c r="E35" s="5" t="s">
        <v>2708</v>
      </c>
      <c r="F35" s="1" t="s">
        <v>2645</v>
      </c>
      <c r="G35" s="5" t="s">
        <v>2709</v>
      </c>
    </row>
    <row r="36" customFormat="false" ht="15" hidden="false" customHeight="false" outlineLevel="0" collapsed="false">
      <c r="A36" s="1" t="s">
        <v>2707</v>
      </c>
      <c r="B36" s="1" t="n">
        <v>12</v>
      </c>
      <c r="C36" s="1" t="n">
        <v>3</v>
      </c>
      <c r="D36" s="1" t="n">
        <v>1</v>
      </c>
      <c r="E36" s="1" t="s">
        <v>2691</v>
      </c>
      <c r="F36" s="1" t="s">
        <v>2649</v>
      </c>
      <c r="G36" s="1" t="s">
        <v>2710</v>
      </c>
    </row>
    <row r="37" customFormat="false" ht="15" hidden="false" customHeight="false" outlineLevel="0" collapsed="false">
      <c r="A37" s="5" t="s">
        <v>2707</v>
      </c>
      <c r="B37" s="5" t="n">
        <v>12</v>
      </c>
      <c r="C37" s="5" t="n">
        <v>3</v>
      </c>
      <c r="D37" s="5" t="n">
        <v>1</v>
      </c>
      <c r="E37" s="5" t="s">
        <v>2702</v>
      </c>
      <c r="F37" s="5" t="s">
        <v>1557</v>
      </c>
      <c r="G37" s="5" t="s">
        <v>2711</v>
      </c>
    </row>
    <row r="38" customFormat="false" ht="15" hidden="false" customHeight="false" outlineLevel="0" collapsed="false">
      <c r="A38" s="5" t="s">
        <v>914</v>
      </c>
      <c r="B38" s="5" t="n">
        <v>16</v>
      </c>
      <c r="C38" s="5" t="n">
        <v>2</v>
      </c>
      <c r="D38" s="5" t="n">
        <v>1</v>
      </c>
      <c r="E38" s="5" t="s">
        <v>2163</v>
      </c>
      <c r="F38" s="1" t="s">
        <v>2649</v>
      </c>
      <c r="G38" s="5" t="s">
        <v>2712</v>
      </c>
    </row>
    <row r="39" customFormat="false" ht="15" hidden="false" customHeight="false" outlineLevel="0" collapsed="false">
      <c r="A39" s="1" t="s">
        <v>914</v>
      </c>
      <c r="B39" s="1" t="n">
        <v>16</v>
      </c>
      <c r="C39" s="1" t="n">
        <v>2</v>
      </c>
      <c r="D39" s="1" t="n">
        <v>2</v>
      </c>
      <c r="E39" s="1" t="s">
        <v>2713</v>
      </c>
      <c r="F39" s="1" t="s">
        <v>2654</v>
      </c>
      <c r="G39" s="1" t="s">
        <v>2714</v>
      </c>
    </row>
    <row r="40" customFormat="false" ht="15" hidden="false" customHeight="false" outlineLevel="0" collapsed="false">
      <c r="A40" s="1" t="s">
        <v>2122</v>
      </c>
      <c r="B40" s="1" t="n">
        <v>19</v>
      </c>
      <c r="C40" s="1" t="n">
        <v>1</v>
      </c>
      <c r="D40" s="1" t="n">
        <v>1</v>
      </c>
      <c r="E40" s="1" t="s">
        <v>1957</v>
      </c>
      <c r="F40" s="1" t="s">
        <v>2645</v>
      </c>
      <c r="G40" s="1" t="s">
        <v>2715</v>
      </c>
    </row>
    <row r="41" customFormat="false" ht="15" hidden="false" customHeight="false" outlineLevel="0" collapsed="false">
      <c r="A41" s="5" t="s">
        <v>2122</v>
      </c>
      <c r="B41" s="5" t="n">
        <v>19</v>
      </c>
      <c r="C41" s="5" t="n">
        <v>1</v>
      </c>
      <c r="D41" s="5" t="n">
        <v>2</v>
      </c>
      <c r="E41" s="5" t="s">
        <v>1957</v>
      </c>
      <c r="F41" s="1" t="s">
        <v>2649</v>
      </c>
      <c r="G41" s="5" t="s">
        <v>2716</v>
      </c>
    </row>
    <row r="42" customFormat="false" ht="15" hidden="false" customHeight="false" outlineLevel="0" collapsed="false">
      <c r="A42" s="1" t="s">
        <v>2122</v>
      </c>
      <c r="B42" s="1" t="n">
        <v>19</v>
      </c>
      <c r="C42" s="1" t="n">
        <v>1</v>
      </c>
      <c r="D42" s="1" t="n">
        <v>3</v>
      </c>
      <c r="E42" s="1" t="s">
        <v>2385</v>
      </c>
      <c r="F42" s="1" t="s">
        <v>2654</v>
      </c>
      <c r="G42" s="1" t="s">
        <v>2717</v>
      </c>
    </row>
    <row r="43" customFormat="false" ht="15" hidden="false" customHeight="false" outlineLevel="0" collapsed="false">
      <c r="A43" s="1" t="s">
        <v>978</v>
      </c>
      <c r="B43" s="1" t="n">
        <v>23</v>
      </c>
      <c r="C43" s="1" t="n">
        <v>1</v>
      </c>
      <c r="D43" s="1" t="n">
        <v>1</v>
      </c>
      <c r="E43" s="1" t="s">
        <v>2718</v>
      </c>
      <c r="F43" s="1" t="s">
        <v>2649</v>
      </c>
      <c r="G43" s="1" t="s">
        <v>2719</v>
      </c>
    </row>
    <row r="44" customFormat="false" ht="15" hidden="false" customHeight="false" outlineLevel="0" collapsed="false">
      <c r="A44" s="5" t="s">
        <v>978</v>
      </c>
      <c r="B44" s="5" t="n">
        <v>23</v>
      </c>
      <c r="C44" s="5" t="n">
        <v>1</v>
      </c>
      <c r="D44" s="5" t="n">
        <v>2</v>
      </c>
      <c r="E44" s="5" t="s">
        <v>2297</v>
      </c>
      <c r="F44" s="1" t="s">
        <v>2654</v>
      </c>
      <c r="G44" s="5" t="s">
        <v>2720</v>
      </c>
    </row>
    <row r="45" customFormat="false" ht="15" hidden="false" customHeight="false" outlineLevel="0" collapsed="false">
      <c r="A45" s="5" t="s">
        <v>985</v>
      </c>
      <c r="B45" s="5" t="n">
        <v>23</v>
      </c>
      <c r="C45" s="5" t="n">
        <v>3</v>
      </c>
      <c r="D45" s="5" t="n">
        <v>1</v>
      </c>
      <c r="E45" s="5" t="s">
        <v>2721</v>
      </c>
      <c r="F45" s="1" t="s">
        <v>2649</v>
      </c>
      <c r="G45" s="5" t="s">
        <v>2722</v>
      </c>
    </row>
    <row r="46" customFormat="false" ht="15" hidden="false" customHeight="false" outlineLevel="0" collapsed="false">
      <c r="A46" s="1" t="s">
        <v>985</v>
      </c>
      <c r="B46" s="1" t="n">
        <v>23</v>
      </c>
      <c r="C46" s="1" t="n">
        <v>3</v>
      </c>
      <c r="D46" s="1" t="n">
        <v>2</v>
      </c>
      <c r="E46" s="1" t="s">
        <v>2723</v>
      </c>
      <c r="F46" s="1" t="s">
        <v>2645</v>
      </c>
      <c r="G46" s="1" t="s">
        <v>2724</v>
      </c>
    </row>
    <row r="47" customFormat="false" ht="15" hidden="false" customHeight="false" outlineLevel="0" collapsed="false">
      <c r="A47" s="5" t="s">
        <v>985</v>
      </c>
      <c r="B47" s="5" t="n">
        <v>23</v>
      </c>
      <c r="C47" s="5" t="n">
        <v>3</v>
      </c>
      <c r="D47" s="5" t="n">
        <v>3</v>
      </c>
      <c r="E47" s="5" t="s">
        <v>2725</v>
      </c>
      <c r="F47" s="1" t="s">
        <v>2649</v>
      </c>
      <c r="G47" s="5" t="s">
        <v>2726</v>
      </c>
    </row>
    <row r="48" customFormat="false" ht="15" hidden="false" customHeight="false" outlineLevel="0" collapsed="false">
      <c r="A48" s="5" t="s">
        <v>2394</v>
      </c>
      <c r="B48" s="5" t="n">
        <v>24</v>
      </c>
      <c r="C48" s="5" t="n">
        <v>2</v>
      </c>
      <c r="D48" s="5" t="n">
        <v>1</v>
      </c>
      <c r="E48" s="5" t="s">
        <v>1300</v>
      </c>
      <c r="F48" s="1" t="s">
        <v>2645</v>
      </c>
      <c r="G48" s="5" t="s">
        <v>2727</v>
      </c>
    </row>
    <row r="49" customFormat="false" ht="15" hidden="false" customHeight="false" outlineLevel="0" collapsed="false">
      <c r="A49" s="5" t="s">
        <v>2398</v>
      </c>
      <c r="B49" s="5" t="n">
        <v>24</v>
      </c>
      <c r="C49" s="5" t="n">
        <v>3</v>
      </c>
      <c r="D49" s="5" t="n">
        <v>1</v>
      </c>
      <c r="E49" s="5" t="s">
        <v>2728</v>
      </c>
      <c r="F49" s="1" t="s">
        <v>2654</v>
      </c>
      <c r="G49" s="5" t="s">
        <v>2729</v>
      </c>
    </row>
    <row r="50" customFormat="false" ht="15" hidden="false" customHeight="false" outlineLevel="0" collapsed="false">
      <c r="A50" s="1" t="s">
        <v>2398</v>
      </c>
      <c r="B50" s="1" t="n">
        <v>24</v>
      </c>
      <c r="C50" s="1" t="n">
        <v>3</v>
      </c>
      <c r="D50" s="1" t="n">
        <v>1</v>
      </c>
      <c r="E50" s="1" t="s">
        <v>2730</v>
      </c>
      <c r="F50" s="1" t="s">
        <v>2645</v>
      </c>
      <c r="G50" s="1" t="s">
        <v>2731</v>
      </c>
    </row>
    <row r="51" customFormat="false" ht="15" hidden="false" customHeight="false" outlineLevel="0" collapsed="false">
      <c r="A51" s="5" t="s">
        <v>2732</v>
      </c>
      <c r="B51" s="5" t="n">
        <v>28</v>
      </c>
      <c r="C51" s="5" t="n">
        <v>1</v>
      </c>
      <c r="D51" s="5" t="n">
        <v>1</v>
      </c>
      <c r="E51" s="5" t="s">
        <v>2733</v>
      </c>
      <c r="F51" s="5" t="s">
        <v>1557</v>
      </c>
      <c r="G51" s="5" t="s">
        <v>2734</v>
      </c>
    </row>
    <row r="52" customFormat="false" ht="15" hidden="false" customHeight="false" outlineLevel="0" collapsed="false">
      <c r="A52" s="1" t="s">
        <v>2732</v>
      </c>
      <c r="B52" s="1" t="n">
        <v>28</v>
      </c>
      <c r="C52" s="1" t="n">
        <v>1</v>
      </c>
      <c r="D52" s="1" t="n">
        <v>2</v>
      </c>
      <c r="E52" s="1" t="s">
        <v>2735</v>
      </c>
      <c r="F52" s="5" t="s">
        <v>1557</v>
      </c>
      <c r="G52" s="1" t="s">
        <v>2736</v>
      </c>
    </row>
    <row r="53" customFormat="false" ht="15" hidden="false" customHeight="false" outlineLevel="0" collapsed="false">
      <c r="A53" s="5" t="s">
        <v>2732</v>
      </c>
      <c r="B53" s="5" t="n">
        <v>28</v>
      </c>
      <c r="C53" s="5" t="n">
        <v>1</v>
      </c>
      <c r="D53" s="5" t="n">
        <v>3</v>
      </c>
      <c r="E53" s="5" t="s">
        <v>2737</v>
      </c>
      <c r="F53" s="1" t="s">
        <v>2645</v>
      </c>
      <c r="G53" s="5" t="s">
        <v>2738</v>
      </c>
    </row>
    <row r="54" customFormat="false" ht="15" hidden="false" customHeight="false" outlineLevel="0" collapsed="false">
      <c r="A54" s="5" t="s">
        <v>2739</v>
      </c>
      <c r="B54" s="5" t="n">
        <v>28</v>
      </c>
      <c r="C54" s="5" t="n">
        <v>2</v>
      </c>
      <c r="D54" s="5" t="n">
        <v>1</v>
      </c>
      <c r="E54" s="5" t="s">
        <v>2740</v>
      </c>
      <c r="F54" s="1" t="s">
        <v>2649</v>
      </c>
      <c r="G54" s="5" t="s">
        <v>2741</v>
      </c>
    </row>
    <row r="55" customFormat="false" ht="15" hidden="false" customHeight="false" outlineLevel="0" collapsed="false">
      <c r="A55" s="1" t="s">
        <v>2739</v>
      </c>
      <c r="B55" s="1" t="n">
        <v>28</v>
      </c>
      <c r="C55" s="1" t="n">
        <v>2</v>
      </c>
      <c r="D55" s="1" t="n">
        <v>1</v>
      </c>
      <c r="E55" s="1" t="s">
        <v>2742</v>
      </c>
      <c r="F55" s="1" t="s">
        <v>2654</v>
      </c>
      <c r="G55" s="1" t="s">
        <v>2743</v>
      </c>
    </row>
    <row r="56" customFormat="false" ht="15" hidden="false" customHeight="false" outlineLevel="0" collapsed="false">
      <c r="A56" s="5" t="s">
        <v>2739</v>
      </c>
      <c r="B56" s="5" t="n">
        <v>28</v>
      </c>
      <c r="C56" s="5" t="n">
        <v>2</v>
      </c>
      <c r="D56" s="5" t="n">
        <v>2</v>
      </c>
      <c r="E56" s="5" t="s">
        <v>2744</v>
      </c>
      <c r="F56" s="1" t="s">
        <v>2649</v>
      </c>
      <c r="G56" s="5" t="s">
        <v>2745</v>
      </c>
    </row>
    <row r="57" customFormat="false" ht="15" hidden="false" customHeight="false" outlineLevel="0" collapsed="false">
      <c r="A57" s="1" t="s">
        <v>2739</v>
      </c>
      <c r="B57" s="1" t="n">
        <v>28</v>
      </c>
      <c r="C57" s="1" t="n">
        <v>2</v>
      </c>
      <c r="D57" s="1" t="n">
        <v>3</v>
      </c>
      <c r="E57" s="1" t="s">
        <v>2737</v>
      </c>
      <c r="F57" s="1" t="s">
        <v>2645</v>
      </c>
      <c r="G57" s="1" t="s">
        <v>2746</v>
      </c>
    </row>
    <row r="58" customFormat="false" ht="15" hidden="false" customHeight="false" outlineLevel="0" collapsed="false">
      <c r="A58" s="5" t="s">
        <v>2739</v>
      </c>
      <c r="B58" s="5" t="n">
        <v>28</v>
      </c>
      <c r="C58" s="5" t="n">
        <v>2</v>
      </c>
      <c r="D58" s="5" t="n">
        <v>4</v>
      </c>
      <c r="E58" s="5" t="s">
        <v>2747</v>
      </c>
      <c r="F58" s="1" t="s">
        <v>2649</v>
      </c>
      <c r="G58" s="5" t="s">
        <v>2748</v>
      </c>
    </row>
    <row r="59" customFormat="false" ht="15" hidden="false" customHeight="false" outlineLevel="0" collapsed="false">
      <c r="A59" s="1" t="s">
        <v>2739</v>
      </c>
      <c r="B59" s="1" t="n">
        <v>28</v>
      </c>
      <c r="C59" s="1" t="n">
        <v>2</v>
      </c>
      <c r="D59" s="1" t="n">
        <v>5</v>
      </c>
      <c r="E59" s="1" t="s">
        <v>2749</v>
      </c>
      <c r="F59" s="1" t="s">
        <v>2645</v>
      </c>
      <c r="G59" s="1" t="s">
        <v>2750</v>
      </c>
    </row>
    <row r="60" customFormat="false" ht="15" hidden="false" customHeight="false" outlineLevel="0" collapsed="false">
      <c r="A60" s="5" t="s">
        <v>2751</v>
      </c>
      <c r="B60" s="5" t="n">
        <v>28</v>
      </c>
      <c r="C60" s="5" t="n">
        <v>3</v>
      </c>
      <c r="D60" s="5" t="n">
        <v>1</v>
      </c>
      <c r="E60" s="5" t="s">
        <v>2742</v>
      </c>
      <c r="F60" s="1" t="s">
        <v>2649</v>
      </c>
      <c r="G60" s="5" t="s">
        <v>2752</v>
      </c>
    </row>
    <row r="61" customFormat="false" ht="15" hidden="false" customHeight="false" outlineLevel="0" collapsed="false">
      <c r="A61" s="1" t="s">
        <v>2751</v>
      </c>
      <c r="B61" s="1" t="n">
        <v>28</v>
      </c>
      <c r="C61" s="1" t="n">
        <v>3</v>
      </c>
      <c r="D61" s="1" t="n">
        <v>2</v>
      </c>
      <c r="E61" s="1" t="s">
        <v>2737</v>
      </c>
      <c r="F61" s="1" t="s">
        <v>2645</v>
      </c>
      <c r="G61" s="1" t="s">
        <v>2753</v>
      </c>
    </row>
    <row r="62" customFormat="false" ht="15" hidden="false" customHeight="false" outlineLevel="0" collapsed="false">
      <c r="A62" s="1" t="s">
        <v>1473</v>
      </c>
      <c r="B62" s="1" t="n">
        <v>39</v>
      </c>
      <c r="C62" s="1" t="n">
        <v>2</v>
      </c>
      <c r="D62" s="1" t="n">
        <v>1</v>
      </c>
      <c r="E62" s="1" t="s">
        <v>2754</v>
      </c>
      <c r="F62" s="1" t="s">
        <v>2649</v>
      </c>
      <c r="G62" s="1" t="s">
        <v>2755</v>
      </c>
    </row>
    <row r="63" customFormat="false" ht="15" hidden="false" customHeight="false" outlineLevel="0" collapsed="false">
      <c r="A63" s="5" t="s">
        <v>1473</v>
      </c>
      <c r="B63" s="5" t="n">
        <v>39</v>
      </c>
      <c r="C63" s="5" t="n">
        <v>2</v>
      </c>
      <c r="D63" s="5" t="n">
        <v>2</v>
      </c>
      <c r="E63" s="5" t="s">
        <v>2756</v>
      </c>
      <c r="F63" s="1" t="s">
        <v>2654</v>
      </c>
      <c r="G63" s="5" t="s">
        <v>2757</v>
      </c>
    </row>
    <row r="64" customFormat="false" ht="15" hidden="false" customHeight="false" outlineLevel="0" collapsed="false">
      <c r="A64" s="1" t="s">
        <v>1473</v>
      </c>
      <c r="B64" s="1" t="n">
        <v>39</v>
      </c>
      <c r="C64" s="1" t="n">
        <v>2</v>
      </c>
      <c r="D64" s="1" t="n">
        <v>3</v>
      </c>
      <c r="E64" s="1" t="s">
        <v>2754</v>
      </c>
      <c r="F64" s="1" t="s">
        <v>2654</v>
      </c>
      <c r="G64" s="1" t="s">
        <v>2758</v>
      </c>
    </row>
    <row r="65" customFormat="false" ht="15" hidden="false" customHeight="false" outlineLevel="0" collapsed="false">
      <c r="A65" s="1" t="s">
        <v>2759</v>
      </c>
      <c r="B65" s="1" t="n">
        <v>39</v>
      </c>
      <c r="C65" s="1" t="n">
        <v>3</v>
      </c>
      <c r="D65" s="1" t="n">
        <v>1</v>
      </c>
      <c r="E65" s="1" t="s">
        <v>2760</v>
      </c>
      <c r="F65" s="1" t="s">
        <v>2645</v>
      </c>
      <c r="G65" s="1" t="s">
        <v>2761</v>
      </c>
    </row>
    <row r="66" customFormat="false" ht="15" hidden="false" customHeight="false" outlineLevel="0" collapsed="false">
      <c r="A66" s="5" t="s">
        <v>2759</v>
      </c>
      <c r="B66" s="5" t="n">
        <v>39</v>
      </c>
      <c r="C66" s="5" t="n">
        <v>3</v>
      </c>
      <c r="D66" s="5" t="n">
        <v>3</v>
      </c>
      <c r="E66" s="5" t="s">
        <v>2756</v>
      </c>
      <c r="F66" s="1" t="s">
        <v>2654</v>
      </c>
      <c r="G66" s="5" t="s">
        <v>2762</v>
      </c>
    </row>
    <row r="67" customFormat="false" ht="15" hidden="false" customHeight="false" outlineLevel="0" collapsed="false">
      <c r="A67" s="5" t="s">
        <v>990</v>
      </c>
      <c r="B67" s="5" t="n">
        <v>42</v>
      </c>
      <c r="C67" s="5" t="n">
        <v>1</v>
      </c>
      <c r="D67" s="5" t="n">
        <v>1</v>
      </c>
      <c r="E67" s="5" t="s">
        <v>2763</v>
      </c>
      <c r="F67" s="1" t="s">
        <v>2649</v>
      </c>
      <c r="G67" s="5" t="s">
        <v>2764</v>
      </c>
    </row>
    <row r="68" customFormat="false" ht="15" hidden="false" customHeight="false" outlineLevel="0" collapsed="false">
      <c r="A68" s="1" t="s">
        <v>990</v>
      </c>
      <c r="B68" s="1" t="n">
        <v>42</v>
      </c>
      <c r="C68" s="1" t="n">
        <v>1</v>
      </c>
      <c r="D68" s="1" t="n">
        <v>2</v>
      </c>
      <c r="E68" s="1" t="s">
        <v>2617</v>
      </c>
      <c r="F68" s="1" t="s">
        <v>2645</v>
      </c>
      <c r="G68" s="1" t="s">
        <v>2765</v>
      </c>
    </row>
    <row r="69" customFormat="false" ht="15" hidden="false" customHeight="false" outlineLevel="0" collapsed="false">
      <c r="A69" s="5" t="s">
        <v>990</v>
      </c>
      <c r="B69" s="5" t="n">
        <v>42</v>
      </c>
      <c r="C69" s="5" t="n">
        <v>1</v>
      </c>
      <c r="D69" s="5" t="n">
        <v>3</v>
      </c>
      <c r="E69" s="5" t="s">
        <v>2766</v>
      </c>
      <c r="F69" s="1" t="s">
        <v>2645</v>
      </c>
      <c r="G69" s="5" t="s">
        <v>2767</v>
      </c>
    </row>
    <row r="70" customFormat="false" ht="15" hidden="false" customHeight="false" outlineLevel="0" collapsed="false">
      <c r="A70" s="1" t="s">
        <v>1008</v>
      </c>
      <c r="B70" s="1" t="n">
        <v>42</v>
      </c>
      <c r="C70" s="1" t="n">
        <v>3</v>
      </c>
      <c r="D70" s="1" t="n">
        <v>1</v>
      </c>
      <c r="E70" s="1" t="s">
        <v>2168</v>
      </c>
      <c r="F70" s="1" t="s">
        <v>2649</v>
      </c>
      <c r="G70" s="1" t="s">
        <v>2768</v>
      </c>
    </row>
    <row r="71" customFormat="false" ht="15" hidden="false" customHeight="false" outlineLevel="0" collapsed="false">
      <c r="A71" s="5" t="s">
        <v>1008</v>
      </c>
      <c r="B71" s="5" t="n">
        <v>42</v>
      </c>
      <c r="C71" s="5" t="n">
        <v>3</v>
      </c>
      <c r="D71" s="5" t="n">
        <v>2</v>
      </c>
      <c r="E71" s="5" t="s">
        <v>2763</v>
      </c>
      <c r="F71" s="1" t="s">
        <v>2654</v>
      </c>
      <c r="G71" s="5" t="s">
        <v>2769</v>
      </c>
    </row>
    <row r="72" customFormat="false" ht="15" hidden="false" customHeight="false" outlineLevel="0" collapsed="false">
      <c r="A72" s="1" t="s">
        <v>1008</v>
      </c>
      <c r="B72" s="1" t="n">
        <v>42</v>
      </c>
      <c r="C72" s="1" t="n">
        <v>3</v>
      </c>
      <c r="D72" s="1" t="n">
        <v>3</v>
      </c>
      <c r="E72" s="1" t="s">
        <v>2766</v>
      </c>
      <c r="F72" s="1" t="s">
        <v>2645</v>
      </c>
      <c r="G72" s="1" t="s">
        <v>2770</v>
      </c>
    </row>
    <row r="73" customFormat="false" ht="15" hidden="false" customHeight="false" outlineLevel="0" collapsed="false">
      <c r="A73" s="5" t="s">
        <v>1520</v>
      </c>
      <c r="B73" s="5" t="n">
        <v>47</v>
      </c>
      <c r="C73" s="5" t="n">
        <v>1</v>
      </c>
      <c r="D73" s="5" t="n">
        <v>1</v>
      </c>
      <c r="E73" s="5" t="s">
        <v>1561</v>
      </c>
      <c r="F73" s="1" t="s">
        <v>2649</v>
      </c>
      <c r="G73" s="5" t="s">
        <v>2771</v>
      </c>
    </row>
    <row r="74" customFormat="false" ht="15" hidden="false" customHeight="false" outlineLevel="0" collapsed="false">
      <c r="A74" s="1" t="s">
        <v>1520</v>
      </c>
      <c r="B74" s="1" t="n">
        <v>47</v>
      </c>
      <c r="C74" s="1" t="n">
        <v>1</v>
      </c>
      <c r="D74" s="1" t="n">
        <v>2</v>
      </c>
      <c r="E74" s="1" t="s">
        <v>1526</v>
      </c>
      <c r="F74" s="1" t="s">
        <v>2654</v>
      </c>
      <c r="G74" s="1" t="s">
        <v>2772</v>
      </c>
    </row>
    <row r="75" customFormat="false" ht="15" hidden="false" customHeight="false" outlineLevel="0" collapsed="false">
      <c r="A75" s="5" t="s">
        <v>1520</v>
      </c>
      <c r="B75" s="5" t="n">
        <v>47</v>
      </c>
      <c r="C75" s="5" t="n">
        <v>1</v>
      </c>
      <c r="D75" s="5" t="n">
        <v>1</v>
      </c>
      <c r="E75" s="5" t="s">
        <v>1561</v>
      </c>
      <c r="F75" s="1" t="s">
        <v>2649</v>
      </c>
      <c r="G75" s="5" t="s">
        <v>2773</v>
      </c>
    </row>
    <row r="76" customFormat="false" ht="15" hidden="false" customHeight="false" outlineLevel="0" collapsed="false">
      <c r="A76" s="1" t="s">
        <v>1520</v>
      </c>
      <c r="B76" s="1" t="n">
        <v>47</v>
      </c>
      <c r="C76" s="1" t="n">
        <v>1</v>
      </c>
      <c r="D76" s="1" t="n">
        <v>2</v>
      </c>
      <c r="E76" s="1" t="s">
        <v>1534</v>
      </c>
      <c r="F76" s="1" t="s">
        <v>2654</v>
      </c>
      <c r="G76" s="1" t="s">
        <v>2774</v>
      </c>
    </row>
    <row r="77" customFormat="false" ht="15" hidden="false" customHeight="false" outlineLevel="0" collapsed="false">
      <c r="A77" s="5" t="s">
        <v>1520</v>
      </c>
      <c r="B77" s="5" t="n">
        <v>47</v>
      </c>
      <c r="C77" s="5" t="n">
        <v>1</v>
      </c>
      <c r="D77" s="5" t="n">
        <v>1</v>
      </c>
      <c r="E77" s="5" t="s">
        <v>1561</v>
      </c>
      <c r="F77" s="1" t="s">
        <v>2649</v>
      </c>
      <c r="G77" s="5" t="s">
        <v>2775</v>
      </c>
    </row>
    <row r="78" customFormat="false" ht="15" hidden="false" customHeight="false" outlineLevel="0" collapsed="false">
      <c r="A78" s="1" t="s">
        <v>1520</v>
      </c>
      <c r="B78" s="1" t="n">
        <v>47</v>
      </c>
      <c r="C78" s="1" t="n">
        <v>1</v>
      </c>
      <c r="D78" s="1" t="n">
        <v>2</v>
      </c>
      <c r="E78" s="1" t="s">
        <v>1526</v>
      </c>
      <c r="F78" s="1" t="s">
        <v>2645</v>
      </c>
      <c r="G78" s="1" t="s">
        <v>2776</v>
      </c>
    </row>
    <row r="79" customFormat="false" ht="15" hidden="false" customHeight="false" outlineLevel="0" collapsed="false">
      <c r="A79" s="5" t="s">
        <v>1520</v>
      </c>
      <c r="B79" s="5" t="n">
        <v>47</v>
      </c>
      <c r="C79" s="5" t="n">
        <v>1</v>
      </c>
      <c r="D79" s="5" t="n">
        <v>3</v>
      </c>
      <c r="E79" s="5" t="s">
        <v>2777</v>
      </c>
      <c r="F79" s="1" t="s">
        <v>2654</v>
      </c>
      <c r="G79" s="5" t="s">
        <v>2778</v>
      </c>
    </row>
    <row r="80" customFormat="false" ht="15" hidden="false" customHeight="false" outlineLevel="0" collapsed="false">
      <c r="A80" s="1" t="s">
        <v>1520</v>
      </c>
      <c r="B80" s="1" t="n">
        <v>47</v>
      </c>
      <c r="C80" s="1" t="n">
        <v>1</v>
      </c>
      <c r="D80" s="1" t="n">
        <v>1</v>
      </c>
      <c r="E80" s="1" t="s">
        <v>1561</v>
      </c>
      <c r="F80" s="1" t="s">
        <v>2649</v>
      </c>
      <c r="G80" s="1" t="s">
        <v>2779</v>
      </c>
    </row>
    <row r="81" customFormat="false" ht="15" hidden="false" customHeight="false" outlineLevel="0" collapsed="false">
      <c r="A81" s="5" t="s">
        <v>1520</v>
      </c>
      <c r="B81" s="5" t="n">
        <v>47</v>
      </c>
      <c r="C81" s="5" t="n">
        <v>1</v>
      </c>
      <c r="D81" s="5" t="n">
        <v>2</v>
      </c>
      <c r="E81" s="5" t="s">
        <v>1526</v>
      </c>
      <c r="F81" s="1" t="s">
        <v>2645</v>
      </c>
      <c r="G81" s="5" t="s">
        <v>2776</v>
      </c>
    </row>
    <row r="82" customFormat="false" ht="15" hidden="false" customHeight="false" outlineLevel="0" collapsed="false">
      <c r="A82" s="1" t="s">
        <v>1520</v>
      </c>
      <c r="B82" s="1" t="n">
        <v>47</v>
      </c>
      <c r="C82" s="1" t="n">
        <v>1</v>
      </c>
      <c r="D82" s="1" t="n">
        <v>3</v>
      </c>
      <c r="E82" s="1" t="s">
        <v>1534</v>
      </c>
      <c r="F82" s="1" t="s">
        <v>2654</v>
      </c>
      <c r="G82" s="1" t="s">
        <v>2780</v>
      </c>
    </row>
    <row r="83" customFormat="false" ht="15" hidden="false" customHeight="false" outlineLevel="0" collapsed="false">
      <c r="A83" s="5" t="s">
        <v>1550</v>
      </c>
      <c r="B83" s="5" t="n">
        <v>47</v>
      </c>
      <c r="C83" s="5" t="n">
        <v>3</v>
      </c>
      <c r="D83" s="5" t="n">
        <v>1</v>
      </c>
      <c r="E83" s="5" t="s">
        <v>2781</v>
      </c>
      <c r="F83" s="1" t="s">
        <v>2645</v>
      </c>
      <c r="G83" s="5" t="s">
        <v>2782</v>
      </c>
    </row>
    <row r="84" customFormat="false" ht="15" hidden="false" customHeight="false" outlineLevel="0" collapsed="false">
      <c r="A84" s="1" t="s">
        <v>1550</v>
      </c>
      <c r="B84" s="1" t="n">
        <v>47</v>
      </c>
      <c r="C84" s="1" t="n">
        <v>3</v>
      </c>
      <c r="D84" s="1" t="n">
        <v>2</v>
      </c>
      <c r="E84" s="1" t="s">
        <v>1534</v>
      </c>
      <c r="F84" s="1" t="s">
        <v>2649</v>
      </c>
      <c r="G84" s="1" t="s">
        <v>2783</v>
      </c>
    </row>
    <row r="85" customFormat="false" ht="15" hidden="false" customHeight="false" outlineLevel="0" collapsed="false">
      <c r="A85" s="5" t="s">
        <v>1550</v>
      </c>
      <c r="B85" s="5" t="n">
        <v>47</v>
      </c>
      <c r="C85" s="5" t="n">
        <v>3</v>
      </c>
      <c r="D85" s="5" t="n">
        <v>3</v>
      </c>
      <c r="E85" s="5" t="s">
        <v>1534</v>
      </c>
      <c r="F85" s="1" t="s">
        <v>2654</v>
      </c>
      <c r="G85" s="5" t="s">
        <v>2784</v>
      </c>
    </row>
    <row r="86" customFormat="false" ht="15" hidden="false" customHeight="false" outlineLevel="0" collapsed="false">
      <c r="A86" s="1" t="s">
        <v>1550</v>
      </c>
      <c r="B86" s="1" t="n">
        <v>47</v>
      </c>
      <c r="C86" s="1" t="n">
        <v>3</v>
      </c>
      <c r="D86" s="1" t="n">
        <v>4</v>
      </c>
      <c r="E86" s="1" t="s">
        <v>1526</v>
      </c>
      <c r="F86" s="1" t="s">
        <v>2654</v>
      </c>
      <c r="G86" s="1" t="s">
        <v>2785</v>
      </c>
    </row>
    <row r="87" customFormat="false" ht="15" hidden="false" customHeight="false" outlineLevel="0" collapsed="false">
      <c r="A87" s="5" t="s">
        <v>1550</v>
      </c>
      <c r="B87" s="5" t="n">
        <v>47</v>
      </c>
      <c r="C87" s="5" t="n">
        <v>3</v>
      </c>
      <c r="D87" s="5" t="n">
        <v>1</v>
      </c>
      <c r="E87" s="5" t="s">
        <v>1526</v>
      </c>
      <c r="F87" s="1" t="s">
        <v>2649</v>
      </c>
      <c r="G87" s="5" t="s">
        <v>2785</v>
      </c>
    </row>
    <row r="88" customFormat="false" ht="15" hidden="false" customHeight="false" outlineLevel="0" collapsed="false">
      <c r="A88" s="1" t="s">
        <v>1550</v>
      </c>
      <c r="B88" s="1" t="n">
        <v>47</v>
      </c>
      <c r="C88" s="1" t="n">
        <v>3</v>
      </c>
      <c r="D88" s="1" t="n">
        <v>2</v>
      </c>
      <c r="E88" s="1" t="s">
        <v>2777</v>
      </c>
      <c r="F88" s="1" t="s">
        <v>2654</v>
      </c>
      <c r="G88" s="1" t="s">
        <v>2786</v>
      </c>
    </row>
    <row r="89" customFormat="false" ht="15" hidden="false" customHeight="false" outlineLevel="0" collapsed="false">
      <c r="A89" s="5" t="s">
        <v>2167</v>
      </c>
      <c r="B89" s="5" t="n">
        <v>51</v>
      </c>
      <c r="C89" s="5" t="n">
        <v>1</v>
      </c>
      <c r="D89" s="5" t="n">
        <v>1</v>
      </c>
      <c r="E89" s="5" t="s">
        <v>2787</v>
      </c>
      <c r="F89" s="1" t="s">
        <v>2645</v>
      </c>
      <c r="G89" s="5" t="s">
        <v>2788</v>
      </c>
    </row>
    <row r="90" customFormat="false" ht="15" hidden="false" customHeight="false" outlineLevel="0" collapsed="false">
      <c r="A90" s="1" t="s">
        <v>2171</v>
      </c>
      <c r="B90" s="1" t="n">
        <v>51</v>
      </c>
      <c r="C90" s="1" t="n">
        <v>2</v>
      </c>
      <c r="D90" s="1" t="n">
        <v>1</v>
      </c>
      <c r="E90" s="1" t="s">
        <v>2789</v>
      </c>
      <c r="F90" s="1" t="s">
        <v>2645</v>
      </c>
      <c r="G90" s="1" t="s">
        <v>2790</v>
      </c>
    </row>
    <row r="91" customFormat="false" ht="15" hidden="false" customHeight="false" outlineLevel="0" collapsed="false">
      <c r="A91" s="5" t="s">
        <v>1013</v>
      </c>
      <c r="B91" s="5" t="n">
        <v>52</v>
      </c>
      <c r="C91" s="5" t="n">
        <v>1</v>
      </c>
      <c r="D91" s="5" t="n">
        <v>1</v>
      </c>
      <c r="E91" s="5" t="s">
        <v>970</v>
      </c>
      <c r="F91" s="1" t="s">
        <v>2649</v>
      </c>
      <c r="G91" s="5" t="s">
        <v>2791</v>
      </c>
    </row>
    <row r="92" customFormat="false" ht="15" hidden="false" customHeight="false" outlineLevel="0" collapsed="false">
      <c r="A92" s="1" t="s">
        <v>1013</v>
      </c>
      <c r="B92" s="1" t="n">
        <v>52</v>
      </c>
      <c r="C92" s="1" t="n">
        <v>1</v>
      </c>
      <c r="D92" s="1" t="n">
        <v>2</v>
      </c>
      <c r="E92" s="1" t="s">
        <v>2792</v>
      </c>
      <c r="F92" s="1" t="s">
        <v>2645</v>
      </c>
      <c r="G92" s="1" t="s">
        <v>2793</v>
      </c>
    </row>
    <row r="93" customFormat="false" ht="15" hidden="false" customHeight="false" outlineLevel="0" collapsed="false">
      <c r="A93" s="5" t="s">
        <v>1013</v>
      </c>
      <c r="B93" s="5" t="n">
        <v>52</v>
      </c>
      <c r="C93" s="5" t="n">
        <v>1</v>
      </c>
      <c r="D93" s="5" t="n">
        <v>3</v>
      </c>
      <c r="E93" s="5" t="s">
        <v>1600</v>
      </c>
      <c r="F93" s="1" t="s">
        <v>2654</v>
      </c>
      <c r="G93" s="5" t="s">
        <v>2794</v>
      </c>
    </row>
    <row r="94" customFormat="false" ht="15" hidden="false" customHeight="false" outlineLevel="0" collapsed="false">
      <c r="A94" s="1" t="s">
        <v>1013</v>
      </c>
      <c r="B94" s="1" t="n">
        <v>52</v>
      </c>
      <c r="C94" s="1" t="n">
        <v>1</v>
      </c>
      <c r="D94" s="1" t="n">
        <v>4</v>
      </c>
      <c r="E94" s="1" t="s">
        <v>2795</v>
      </c>
      <c r="F94" s="1" t="s">
        <v>2654</v>
      </c>
      <c r="G94" s="1" t="s">
        <v>2796</v>
      </c>
    </row>
    <row r="95" customFormat="false" ht="15" hidden="false" customHeight="false" outlineLevel="0" collapsed="false">
      <c r="A95" s="1" t="s">
        <v>1013</v>
      </c>
      <c r="B95" s="1" t="n">
        <v>52</v>
      </c>
      <c r="C95" s="1" t="n">
        <v>1</v>
      </c>
      <c r="D95" s="1" t="n">
        <v>1</v>
      </c>
      <c r="E95" s="1" t="s">
        <v>2797</v>
      </c>
      <c r="F95" s="1" t="s">
        <v>2649</v>
      </c>
      <c r="G95" s="1" t="s">
        <v>2798</v>
      </c>
    </row>
    <row r="96" customFormat="false" ht="15" hidden="false" customHeight="false" outlineLevel="0" collapsed="false">
      <c r="A96" s="5" t="s">
        <v>1013</v>
      </c>
      <c r="B96" s="5" t="n">
        <v>52</v>
      </c>
      <c r="C96" s="5" t="n">
        <v>1</v>
      </c>
      <c r="D96" s="5" t="n">
        <v>2</v>
      </c>
      <c r="E96" s="5" t="s">
        <v>2799</v>
      </c>
      <c r="F96" s="1" t="s">
        <v>2649</v>
      </c>
      <c r="G96" s="5" t="s">
        <v>2800</v>
      </c>
    </row>
    <row r="97" customFormat="false" ht="15" hidden="false" customHeight="false" outlineLevel="0" collapsed="false">
      <c r="A97" s="5" t="s">
        <v>1016</v>
      </c>
      <c r="B97" s="5" t="n">
        <v>52</v>
      </c>
      <c r="C97" s="5" t="n">
        <v>2</v>
      </c>
      <c r="D97" s="5" t="n">
        <v>1</v>
      </c>
      <c r="E97" s="5" t="s">
        <v>1056</v>
      </c>
      <c r="F97" s="1" t="s">
        <v>2654</v>
      </c>
      <c r="G97" s="5" t="s">
        <v>2801</v>
      </c>
    </row>
    <row r="98" customFormat="false" ht="15" hidden="false" customHeight="false" outlineLevel="0" collapsed="false">
      <c r="A98" s="1" t="s">
        <v>1016</v>
      </c>
      <c r="B98" s="1" t="n">
        <v>52</v>
      </c>
      <c r="C98" s="1" t="n">
        <v>2</v>
      </c>
      <c r="D98" s="1" t="n">
        <v>2</v>
      </c>
      <c r="E98" s="1" t="s">
        <v>970</v>
      </c>
      <c r="F98" s="1" t="s">
        <v>2649</v>
      </c>
      <c r="G98" s="1" t="s">
        <v>2802</v>
      </c>
    </row>
    <row r="99" customFormat="false" ht="15" hidden="false" customHeight="false" outlineLevel="0" collapsed="false">
      <c r="A99" s="5" t="s">
        <v>1016</v>
      </c>
      <c r="B99" s="5" t="n">
        <v>52</v>
      </c>
      <c r="C99" s="5" t="n">
        <v>2</v>
      </c>
      <c r="D99" s="5" t="n">
        <v>1</v>
      </c>
      <c r="E99" s="5" t="s">
        <v>2803</v>
      </c>
      <c r="F99" s="1" t="s">
        <v>2645</v>
      </c>
      <c r="G99" s="5" t="s">
        <v>2804</v>
      </c>
    </row>
    <row r="100" customFormat="false" ht="15" hidden="false" customHeight="false" outlineLevel="0" collapsed="false">
      <c r="A100" s="1" t="s">
        <v>1016</v>
      </c>
      <c r="B100" s="1" t="n">
        <v>52</v>
      </c>
      <c r="C100" s="1" t="n">
        <v>2</v>
      </c>
      <c r="D100" s="1" t="n">
        <v>2</v>
      </c>
      <c r="E100" s="1" t="s">
        <v>2052</v>
      </c>
      <c r="F100" s="1" t="s">
        <v>2649</v>
      </c>
      <c r="G100" s="1" t="s">
        <v>2805</v>
      </c>
    </row>
    <row r="101" customFormat="false" ht="15" hidden="false" customHeight="false" outlineLevel="0" collapsed="false">
      <c r="A101" s="5" t="s">
        <v>1016</v>
      </c>
      <c r="B101" s="5" t="n">
        <v>52</v>
      </c>
      <c r="C101" s="5" t="n">
        <v>2</v>
      </c>
      <c r="D101" s="5" t="n">
        <v>3</v>
      </c>
      <c r="E101" s="5" t="s">
        <v>2050</v>
      </c>
      <c r="F101" s="1" t="s">
        <v>2654</v>
      </c>
      <c r="G101" s="5" t="s">
        <v>2806</v>
      </c>
    </row>
    <row r="102" customFormat="false" ht="15" hidden="false" customHeight="false" outlineLevel="0" collapsed="false">
      <c r="A102" s="1" t="s">
        <v>1016</v>
      </c>
      <c r="B102" s="1" t="n">
        <v>52</v>
      </c>
      <c r="C102" s="1" t="n">
        <v>2</v>
      </c>
      <c r="D102" s="1" t="n">
        <v>4</v>
      </c>
      <c r="E102" s="1" t="s">
        <v>2052</v>
      </c>
      <c r="F102" s="1" t="s">
        <v>2654</v>
      </c>
      <c r="G102" s="1" t="s">
        <v>2807</v>
      </c>
    </row>
    <row r="103" customFormat="false" ht="15" hidden="false" customHeight="false" outlineLevel="0" collapsed="false">
      <c r="A103" s="5" t="s">
        <v>1016</v>
      </c>
      <c r="B103" s="5" t="n">
        <v>52</v>
      </c>
      <c r="C103" s="5" t="n">
        <v>2</v>
      </c>
      <c r="D103" s="5" t="n">
        <v>1</v>
      </c>
      <c r="E103" s="5" t="s">
        <v>2797</v>
      </c>
      <c r="F103" s="1" t="s">
        <v>2654</v>
      </c>
      <c r="G103" s="5" t="s">
        <v>2808</v>
      </c>
    </row>
    <row r="104" customFormat="false" ht="15" hidden="false" customHeight="false" outlineLevel="0" collapsed="false">
      <c r="A104" s="1" t="s">
        <v>1029</v>
      </c>
      <c r="B104" s="1" t="n">
        <v>52</v>
      </c>
      <c r="C104" s="1" t="n">
        <v>3</v>
      </c>
      <c r="D104" s="1" t="n">
        <v>1</v>
      </c>
      <c r="E104" s="1" t="s">
        <v>970</v>
      </c>
      <c r="F104" s="1" t="s">
        <v>2649</v>
      </c>
      <c r="G104" s="1" t="s">
        <v>2809</v>
      </c>
    </row>
    <row r="105" customFormat="false" ht="15" hidden="false" customHeight="false" outlineLevel="0" collapsed="false">
      <c r="A105" s="5" t="s">
        <v>1029</v>
      </c>
      <c r="B105" s="5" t="n">
        <v>52</v>
      </c>
      <c r="C105" s="5" t="n">
        <v>3</v>
      </c>
      <c r="D105" s="5" t="n">
        <v>2</v>
      </c>
      <c r="E105" s="5" t="s">
        <v>1056</v>
      </c>
      <c r="F105" s="1" t="s">
        <v>2645</v>
      </c>
      <c r="G105" s="5" t="s">
        <v>2810</v>
      </c>
    </row>
    <row r="106" customFormat="false" ht="15" hidden="false" customHeight="false" outlineLevel="0" collapsed="false">
      <c r="A106" s="1" t="s">
        <v>1029</v>
      </c>
      <c r="B106" s="1" t="n">
        <v>52</v>
      </c>
      <c r="C106" s="1" t="n">
        <v>3</v>
      </c>
      <c r="D106" s="1" t="n">
        <v>3</v>
      </c>
      <c r="E106" s="1" t="s">
        <v>1609</v>
      </c>
      <c r="F106" s="1" t="s">
        <v>2654</v>
      </c>
      <c r="G106" s="1" t="s">
        <v>2811</v>
      </c>
    </row>
    <row r="107" customFormat="false" ht="15" hidden="false" customHeight="false" outlineLevel="0" collapsed="false">
      <c r="A107" s="5" t="s">
        <v>2454</v>
      </c>
      <c r="B107" s="5" t="n">
        <v>54</v>
      </c>
      <c r="C107" s="5" t="n">
        <v>1</v>
      </c>
      <c r="D107" s="5" t="n">
        <v>2</v>
      </c>
      <c r="E107" s="5" t="s">
        <v>2812</v>
      </c>
      <c r="F107" s="1" t="s">
        <v>2649</v>
      </c>
      <c r="G107" s="5" t="s">
        <v>2813</v>
      </c>
    </row>
    <row r="108" customFormat="false" ht="15" hidden="false" customHeight="false" outlineLevel="0" collapsed="false">
      <c r="A108" s="1" t="s">
        <v>2454</v>
      </c>
      <c r="B108" s="1" t="n">
        <v>54</v>
      </c>
      <c r="C108" s="1" t="n">
        <v>1</v>
      </c>
      <c r="D108" s="1" t="n">
        <v>3</v>
      </c>
      <c r="E108" s="1" t="s">
        <v>2812</v>
      </c>
      <c r="F108" s="1" t="s">
        <v>2654</v>
      </c>
      <c r="G108" s="1" t="s">
        <v>2814</v>
      </c>
    </row>
    <row r="109" customFormat="false" ht="15" hidden="false" customHeight="false" outlineLevel="0" collapsed="false">
      <c r="A109" s="1" t="s">
        <v>2454</v>
      </c>
      <c r="B109" s="1" t="n">
        <v>54</v>
      </c>
      <c r="C109" s="1" t="n">
        <v>1</v>
      </c>
      <c r="D109" s="1" t="n">
        <v>1</v>
      </c>
      <c r="E109" s="1" t="s">
        <v>2459</v>
      </c>
      <c r="F109" s="1" t="s">
        <v>2649</v>
      </c>
      <c r="G109" s="1" t="s">
        <v>2815</v>
      </c>
    </row>
    <row r="110" customFormat="false" ht="15" hidden="false" customHeight="false" outlineLevel="0" collapsed="false">
      <c r="A110" s="5" t="s">
        <v>2454</v>
      </c>
      <c r="B110" s="5" t="n">
        <v>54</v>
      </c>
      <c r="C110" s="5" t="n">
        <v>1</v>
      </c>
      <c r="D110" s="5" t="n">
        <v>2</v>
      </c>
      <c r="E110" s="5" t="s">
        <v>1551</v>
      </c>
      <c r="F110" s="1" t="s">
        <v>2645</v>
      </c>
      <c r="G110" s="5" t="s">
        <v>2816</v>
      </c>
    </row>
    <row r="111" customFormat="false" ht="15" hidden="false" customHeight="false" outlineLevel="0" collapsed="false">
      <c r="A111" s="1" t="s">
        <v>2454</v>
      </c>
      <c r="B111" s="1" t="n">
        <v>54</v>
      </c>
      <c r="C111" s="1" t="n">
        <v>1</v>
      </c>
      <c r="D111" s="1" t="n">
        <v>3</v>
      </c>
      <c r="E111" s="1" t="s">
        <v>1949</v>
      </c>
      <c r="F111" s="1" t="s">
        <v>2654</v>
      </c>
      <c r="G111" s="1" t="s">
        <v>2817</v>
      </c>
    </row>
    <row r="112" customFormat="false" ht="15" hidden="false" customHeight="false" outlineLevel="0" collapsed="false">
      <c r="A112" s="1" t="s">
        <v>2461</v>
      </c>
      <c r="B112" s="1" t="n">
        <v>54</v>
      </c>
      <c r="C112" s="1" t="n">
        <v>2</v>
      </c>
      <c r="D112" s="1" t="n">
        <v>1</v>
      </c>
      <c r="E112" s="1" t="s">
        <v>2812</v>
      </c>
      <c r="F112" s="1" t="s">
        <v>2649</v>
      </c>
      <c r="G112" s="1" t="s">
        <v>2818</v>
      </c>
    </row>
    <row r="113" customFormat="false" ht="15" hidden="false" customHeight="false" outlineLevel="0" collapsed="false">
      <c r="A113" s="5" t="s">
        <v>2461</v>
      </c>
      <c r="B113" s="5" t="n">
        <v>54</v>
      </c>
      <c r="C113" s="5" t="n">
        <v>2</v>
      </c>
      <c r="D113" s="5" t="n">
        <v>2</v>
      </c>
      <c r="E113" s="5" t="s">
        <v>2812</v>
      </c>
      <c r="F113" s="1" t="s">
        <v>2654</v>
      </c>
      <c r="G113" s="5" t="s">
        <v>2819</v>
      </c>
    </row>
    <row r="114" customFormat="false" ht="15" hidden="false" customHeight="false" outlineLevel="0" collapsed="false">
      <c r="A114" s="1" t="s">
        <v>2461</v>
      </c>
      <c r="B114" s="1" t="n">
        <v>54</v>
      </c>
      <c r="C114" s="1" t="n">
        <v>2</v>
      </c>
      <c r="D114" s="1" t="n">
        <v>3</v>
      </c>
      <c r="E114" s="1" t="s">
        <v>2812</v>
      </c>
      <c r="F114" s="1" t="s">
        <v>2649</v>
      </c>
      <c r="G114" s="1" t="s">
        <v>2820</v>
      </c>
    </row>
    <row r="115" customFormat="false" ht="15" hidden="false" customHeight="false" outlineLevel="0" collapsed="false">
      <c r="A115" s="5" t="s">
        <v>2461</v>
      </c>
      <c r="B115" s="5" t="n">
        <v>54</v>
      </c>
      <c r="C115" s="5" t="n">
        <v>2</v>
      </c>
      <c r="D115" s="5" t="n">
        <v>1</v>
      </c>
      <c r="E115" s="5" t="s">
        <v>2821</v>
      </c>
      <c r="F115" s="1" t="s">
        <v>2649</v>
      </c>
      <c r="G115" s="5" t="s">
        <v>2822</v>
      </c>
    </row>
    <row r="116" customFormat="false" ht="15" hidden="false" customHeight="false" outlineLevel="0" collapsed="false">
      <c r="A116" s="1" t="s">
        <v>2461</v>
      </c>
      <c r="B116" s="1" t="n">
        <v>54</v>
      </c>
      <c r="C116" s="1" t="n">
        <v>2</v>
      </c>
      <c r="D116" s="1" t="n">
        <v>2</v>
      </c>
      <c r="E116" s="1" t="s">
        <v>2823</v>
      </c>
      <c r="F116" s="1" t="s">
        <v>2654</v>
      </c>
      <c r="G116" s="1" t="s">
        <v>2824</v>
      </c>
    </row>
    <row r="117" customFormat="false" ht="15" hidden="false" customHeight="false" outlineLevel="0" collapsed="false">
      <c r="A117" s="5" t="s">
        <v>2461</v>
      </c>
      <c r="B117" s="5" t="n">
        <v>54</v>
      </c>
      <c r="C117" s="5" t="n">
        <v>2</v>
      </c>
      <c r="D117" s="5" t="n">
        <v>3</v>
      </c>
      <c r="E117" s="5" t="s">
        <v>2823</v>
      </c>
      <c r="F117" s="1" t="s">
        <v>2649</v>
      </c>
      <c r="G117" s="5" t="s">
        <v>2825</v>
      </c>
    </row>
    <row r="118" customFormat="false" ht="15" hidden="false" customHeight="false" outlineLevel="0" collapsed="false">
      <c r="A118" s="1" t="s">
        <v>2461</v>
      </c>
      <c r="B118" s="1" t="n">
        <v>54</v>
      </c>
      <c r="C118" s="1" t="n">
        <v>2</v>
      </c>
      <c r="D118" s="1" t="n">
        <v>1</v>
      </c>
      <c r="E118" s="1" t="s">
        <v>2459</v>
      </c>
      <c r="F118" s="1" t="s">
        <v>2645</v>
      </c>
      <c r="G118" s="1" t="s">
        <v>2826</v>
      </c>
    </row>
    <row r="119" customFormat="false" ht="15" hidden="false" customHeight="false" outlineLevel="0" collapsed="false">
      <c r="A119" s="1" t="s">
        <v>2468</v>
      </c>
      <c r="B119" s="1" t="n">
        <v>54</v>
      </c>
      <c r="C119" s="1" t="n">
        <v>3</v>
      </c>
      <c r="D119" s="1" t="n">
        <v>1</v>
      </c>
      <c r="E119" s="1" t="s">
        <v>2823</v>
      </c>
      <c r="F119" s="1" t="s">
        <v>2645</v>
      </c>
      <c r="G119" s="1" t="s">
        <v>2827</v>
      </c>
    </row>
    <row r="120" customFormat="false" ht="15" hidden="false" customHeight="false" outlineLevel="0" collapsed="false">
      <c r="A120" s="5" t="s">
        <v>2468</v>
      </c>
      <c r="B120" s="5" t="n">
        <v>54</v>
      </c>
      <c r="C120" s="5" t="n">
        <v>3</v>
      </c>
      <c r="D120" s="5" t="n">
        <v>1</v>
      </c>
      <c r="E120" s="5" t="s">
        <v>2812</v>
      </c>
      <c r="F120" s="1" t="s">
        <v>2645</v>
      </c>
      <c r="G120" s="5" t="s">
        <v>2828</v>
      </c>
    </row>
    <row r="121" customFormat="false" ht="15" hidden="false" customHeight="false" outlineLevel="0" collapsed="false">
      <c r="A121" s="1" t="s">
        <v>2474</v>
      </c>
      <c r="B121" s="1" t="n">
        <v>58</v>
      </c>
      <c r="C121" s="1" t="n">
        <v>1</v>
      </c>
      <c r="D121" s="1" t="n">
        <v>1</v>
      </c>
      <c r="E121" s="1" t="s">
        <v>2475</v>
      </c>
      <c r="F121" s="1" t="s">
        <v>2654</v>
      </c>
      <c r="G121" s="1" t="s">
        <v>2829</v>
      </c>
    </row>
    <row r="122" customFormat="false" ht="15" hidden="false" customHeight="false" outlineLevel="0" collapsed="false">
      <c r="A122" s="5" t="s">
        <v>2474</v>
      </c>
      <c r="B122" s="5" t="n">
        <v>58</v>
      </c>
      <c r="C122" s="5" t="n">
        <v>1</v>
      </c>
      <c r="D122" s="5" t="n">
        <v>2</v>
      </c>
      <c r="E122" s="5" t="s">
        <v>2477</v>
      </c>
      <c r="F122" s="1" t="s">
        <v>2649</v>
      </c>
      <c r="G122" s="5" t="s">
        <v>2830</v>
      </c>
    </row>
    <row r="123" customFormat="false" ht="15" hidden="false" customHeight="false" outlineLevel="0" collapsed="false">
      <c r="A123" s="1" t="s">
        <v>1742</v>
      </c>
      <c r="B123" s="1" t="n">
        <v>61</v>
      </c>
      <c r="C123" s="1" t="n">
        <v>1</v>
      </c>
      <c r="D123" s="1" t="n">
        <v>1</v>
      </c>
      <c r="E123" s="1" t="s">
        <v>2831</v>
      </c>
      <c r="F123" s="1" t="s">
        <v>2649</v>
      </c>
      <c r="G123" s="1" t="s">
        <v>2832</v>
      </c>
    </row>
    <row r="124" customFormat="false" ht="15" hidden="false" customHeight="false" outlineLevel="0" collapsed="false">
      <c r="A124" s="5" t="s">
        <v>1742</v>
      </c>
      <c r="B124" s="5" t="n">
        <v>61</v>
      </c>
      <c r="C124" s="5" t="n">
        <v>1</v>
      </c>
      <c r="D124" s="5" t="n">
        <v>2</v>
      </c>
      <c r="E124" s="5" t="s">
        <v>2833</v>
      </c>
      <c r="F124" s="1" t="s">
        <v>2654</v>
      </c>
      <c r="G124" s="5" t="s">
        <v>2834</v>
      </c>
    </row>
    <row r="125" customFormat="false" ht="15" hidden="false" customHeight="false" outlineLevel="0" collapsed="false">
      <c r="A125" s="1" t="s">
        <v>1742</v>
      </c>
      <c r="B125" s="1" t="n">
        <v>61</v>
      </c>
      <c r="C125" s="1" t="n">
        <v>1</v>
      </c>
      <c r="D125" s="1" t="n">
        <v>3</v>
      </c>
      <c r="E125" s="1" t="s">
        <v>2835</v>
      </c>
      <c r="F125" s="1" t="s">
        <v>2649</v>
      </c>
      <c r="G125" s="1" t="s">
        <v>2836</v>
      </c>
    </row>
    <row r="126" customFormat="false" ht="15" hidden="false" customHeight="false" outlineLevel="0" collapsed="false">
      <c r="A126" s="1" t="s">
        <v>2837</v>
      </c>
      <c r="B126" s="1" t="n">
        <v>61</v>
      </c>
      <c r="C126" s="1" t="n">
        <v>2</v>
      </c>
      <c r="D126" s="1" t="n">
        <v>1</v>
      </c>
      <c r="E126" s="1" t="s">
        <v>2833</v>
      </c>
      <c r="F126" s="1" t="s">
        <v>2654</v>
      </c>
      <c r="G126" s="1" t="s">
        <v>2838</v>
      </c>
    </row>
    <row r="127" customFormat="false" ht="15" hidden="false" customHeight="false" outlineLevel="0" collapsed="false">
      <c r="A127" s="5" t="s">
        <v>2837</v>
      </c>
      <c r="B127" s="5" t="n">
        <v>61</v>
      </c>
      <c r="C127" s="5" t="n">
        <v>2</v>
      </c>
      <c r="D127" s="5" t="n">
        <v>2</v>
      </c>
      <c r="E127" s="5" t="s">
        <v>2835</v>
      </c>
      <c r="F127" s="1" t="s">
        <v>2649</v>
      </c>
      <c r="G127" s="5" t="s">
        <v>2839</v>
      </c>
    </row>
    <row r="128" customFormat="false" ht="15" hidden="false" customHeight="false" outlineLevel="0" collapsed="false">
      <c r="A128" s="1" t="s">
        <v>2837</v>
      </c>
      <c r="B128" s="1" t="n">
        <v>61</v>
      </c>
      <c r="C128" s="1" t="n">
        <v>2</v>
      </c>
      <c r="D128" s="1" t="n">
        <v>1</v>
      </c>
      <c r="E128" s="1" t="s">
        <v>2840</v>
      </c>
      <c r="F128" s="1" t="s">
        <v>2645</v>
      </c>
      <c r="G128" s="1" t="s">
        <v>2841</v>
      </c>
    </row>
    <row r="129" customFormat="false" ht="15" hidden="false" customHeight="false" outlineLevel="0" collapsed="false">
      <c r="A129" s="5" t="s">
        <v>2837</v>
      </c>
      <c r="B129" s="5" t="n">
        <v>61</v>
      </c>
      <c r="C129" s="5" t="n">
        <v>2</v>
      </c>
      <c r="D129" s="5" t="n">
        <v>2</v>
      </c>
      <c r="E129" s="5" t="s">
        <v>2842</v>
      </c>
      <c r="F129" s="1" t="s">
        <v>2654</v>
      </c>
      <c r="G129" s="5" t="s">
        <v>2843</v>
      </c>
    </row>
    <row r="130" customFormat="false" ht="15" hidden="false" customHeight="false" outlineLevel="0" collapsed="false">
      <c r="A130" s="1" t="s">
        <v>2844</v>
      </c>
      <c r="B130" s="1" t="n">
        <v>61</v>
      </c>
      <c r="C130" s="1" t="n">
        <v>3</v>
      </c>
      <c r="D130" s="1" t="n">
        <v>1</v>
      </c>
      <c r="E130" s="1" t="s">
        <v>2833</v>
      </c>
      <c r="F130" s="1" t="s">
        <v>2654</v>
      </c>
      <c r="G130" s="1" t="s">
        <v>2845</v>
      </c>
    </row>
    <row r="131" customFormat="false" ht="15" hidden="false" customHeight="false" outlineLevel="0" collapsed="false">
      <c r="A131" s="5" t="s">
        <v>2844</v>
      </c>
      <c r="B131" s="5" t="n">
        <v>61</v>
      </c>
      <c r="C131" s="5" t="n">
        <v>3</v>
      </c>
      <c r="D131" s="5" t="n">
        <v>2</v>
      </c>
      <c r="E131" s="5" t="s">
        <v>2831</v>
      </c>
      <c r="F131" s="1" t="s">
        <v>2649</v>
      </c>
      <c r="G131" s="5" t="s">
        <v>2846</v>
      </c>
    </row>
    <row r="132" customFormat="false" ht="15" hidden="false" customHeight="false" outlineLevel="0" collapsed="false">
      <c r="A132" s="5" t="s">
        <v>2847</v>
      </c>
      <c r="B132" s="5" t="n">
        <v>64</v>
      </c>
      <c r="C132" s="5" t="n">
        <v>1</v>
      </c>
      <c r="D132" s="5" t="n">
        <v>1</v>
      </c>
      <c r="E132" s="5" t="s">
        <v>2188</v>
      </c>
      <c r="F132" s="1" t="s">
        <v>2649</v>
      </c>
      <c r="G132" s="5" t="s">
        <v>2848</v>
      </c>
    </row>
    <row r="133" customFormat="false" ht="15" hidden="false" customHeight="false" outlineLevel="0" collapsed="false">
      <c r="A133" s="1" t="s">
        <v>2847</v>
      </c>
      <c r="B133" s="1" t="n">
        <v>64</v>
      </c>
      <c r="C133" s="1" t="n">
        <v>1</v>
      </c>
      <c r="D133" s="1" t="n">
        <v>2</v>
      </c>
      <c r="E133" s="1" t="s">
        <v>2849</v>
      </c>
      <c r="F133" s="1" t="s">
        <v>2654</v>
      </c>
      <c r="G133" s="1" t="s">
        <v>2850</v>
      </c>
    </row>
    <row r="134" customFormat="false" ht="15" hidden="false" customHeight="false" outlineLevel="0" collapsed="false">
      <c r="A134" s="5" t="s">
        <v>2847</v>
      </c>
      <c r="B134" s="5" t="n">
        <v>64</v>
      </c>
      <c r="C134" s="5" t="n">
        <v>1</v>
      </c>
      <c r="D134" s="5" t="n">
        <v>3</v>
      </c>
      <c r="E134" s="5" t="s">
        <v>2851</v>
      </c>
      <c r="F134" s="1" t="s">
        <v>2654</v>
      </c>
      <c r="G134" s="5" t="s">
        <v>2852</v>
      </c>
    </row>
    <row r="135" customFormat="false" ht="15" hidden="false" customHeight="false" outlineLevel="0" collapsed="false">
      <c r="A135" s="1" t="s">
        <v>1060</v>
      </c>
      <c r="B135" s="1" t="n">
        <v>70</v>
      </c>
      <c r="C135" s="1" t="n">
        <v>2</v>
      </c>
      <c r="D135" s="1" t="n">
        <v>1</v>
      </c>
      <c r="E135" s="1" t="s">
        <v>928</v>
      </c>
      <c r="F135" s="1" t="s">
        <v>2645</v>
      </c>
      <c r="G135" s="1" t="s">
        <v>2853</v>
      </c>
    </row>
    <row r="136" customFormat="false" ht="15" hidden="false" customHeight="false" outlineLevel="0" collapsed="false">
      <c r="A136" s="5" t="s">
        <v>1060</v>
      </c>
      <c r="B136" s="5" t="n">
        <v>70</v>
      </c>
      <c r="C136" s="5" t="n">
        <v>2</v>
      </c>
      <c r="D136" s="5" t="n">
        <v>1</v>
      </c>
      <c r="E136" s="5" t="s">
        <v>930</v>
      </c>
      <c r="F136" s="1" t="s">
        <v>2649</v>
      </c>
      <c r="G136" s="5" t="s">
        <v>2854</v>
      </c>
    </row>
    <row r="137" customFormat="false" ht="15" hidden="false" customHeight="false" outlineLevel="0" collapsed="false">
      <c r="A137" s="1" t="s">
        <v>1060</v>
      </c>
      <c r="B137" s="1" t="n">
        <v>70</v>
      </c>
      <c r="C137" s="1" t="n">
        <v>2</v>
      </c>
      <c r="D137" s="1" t="n">
        <v>1</v>
      </c>
      <c r="E137" s="1" t="s">
        <v>1022</v>
      </c>
      <c r="F137" s="1" t="s">
        <v>2654</v>
      </c>
      <c r="G137" s="1" t="s">
        <v>2855</v>
      </c>
    </row>
    <row r="138" customFormat="false" ht="15" hidden="false" customHeight="false" outlineLevel="0" collapsed="false">
      <c r="A138" s="5" t="s">
        <v>1060</v>
      </c>
      <c r="B138" s="5" t="n">
        <v>70</v>
      </c>
      <c r="C138" s="5" t="n">
        <v>2</v>
      </c>
      <c r="D138" s="5" t="n">
        <v>2</v>
      </c>
      <c r="E138" s="5" t="s">
        <v>2856</v>
      </c>
      <c r="F138" s="1" t="s">
        <v>2654</v>
      </c>
      <c r="G138" s="5" t="s">
        <v>2857</v>
      </c>
    </row>
    <row r="139" customFormat="false" ht="15" hidden="false" customHeight="false" outlineLevel="0" collapsed="false">
      <c r="A139" s="1" t="s">
        <v>1831</v>
      </c>
      <c r="B139" s="1" t="n">
        <v>71</v>
      </c>
      <c r="C139" s="1" t="n">
        <v>1</v>
      </c>
      <c r="D139" s="1" t="n">
        <v>1</v>
      </c>
      <c r="E139" s="1" t="s">
        <v>2194</v>
      </c>
      <c r="F139" s="1" t="s">
        <v>2649</v>
      </c>
      <c r="G139" s="1" t="s">
        <v>2858</v>
      </c>
    </row>
    <row r="140" customFormat="false" ht="15" hidden="false" customHeight="false" outlineLevel="0" collapsed="false">
      <c r="A140" s="5" t="s">
        <v>1831</v>
      </c>
      <c r="B140" s="5" t="n">
        <v>71</v>
      </c>
      <c r="C140" s="5" t="n">
        <v>1</v>
      </c>
      <c r="D140" s="5" t="n">
        <v>2</v>
      </c>
      <c r="E140" s="5" t="s">
        <v>2194</v>
      </c>
      <c r="F140" s="1" t="s">
        <v>2654</v>
      </c>
      <c r="G140" s="5" t="s">
        <v>2859</v>
      </c>
    </row>
    <row r="141" customFormat="false" ht="15" hidden="false" customHeight="false" outlineLevel="0" collapsed="false">
      <c r="A141" s="1" t="s">
        <v>1831</v>
      </c>
      <c r="B141" s="1" t="n">
        <v>71</v>
      </c>
      <c r="C141" s="1" t="n">
        <v>1</v>
      </c>
      <c r="D141" s="1" t="n">
        <v>1</v>
      </c>
      <c r="E141" s="1" t="s">
        <v>1592</v>
      </c>
      <c r="F141" s="1" t="s">
        <v>2649</v>
      </c>
      <c r="G141" s="1" t="s">
        <v>2860</v>
      </c>
    </row>
    <row r="142" customFormat="false" ht="15" hidden="false" customHeight="false" outlineLevel="0" collapsed="false">
      <c r="A142" s="5" t="s">
        <v>1831</v>
      </c>
      <c r="B142" s="5" t="n">
        <v>71</v>
      </c>
      <c r="C142" s="5" t="n">
        <v>1</v>
      </c>
      <c r="D142" s="5" t="n">
        <v>2</v>
      </c>
      <c r="E142" s="5" t="s">
        <v>2861</v>
      </c>
      <c r="F142" s="1" t="s">
        <v>2645</v>
      </c>
      <c r="G142" s="5" t="s">
        <v>2862</v>
      </c>
    </row>
    <row r="143" customFormat="false" ht="15" hidden="false" customHeight="false" outlineLevel="0" collapsed="false">
      <c r="A143" s="1" t="s">
        <v>1831</v>
      </c>
      <c r="B143" s="1" t="n">
        <v>71</v>
      </c>
      <c r="C143" s="1" t="n">
        <v>1</v>
      </c>
      <c r="D143" s="1" t="n">
        <v>3</v>
      </c>
      <c r="E143" s="1" t="s">
        <v>2863</v>
      </c>
      <c r="F143" s="1" t="s">
        <v>2654</v>
      </c>
      <c r="G143" s="1" t="s">
        <v>2864</v>
      </c>
    </row>
    <row r="144" customFormat="false" ht="15" hidden="false" customHeight="false" outlineLevel="0" collapsed="false">
      <c r="A144" s="5" t="s">
        <v>1831</v>
      </c>
      <c r="B144" s="5" t="n">
        <v>71</v>
      </c>
      <c r="C144" s="5" t="n">
        <v>1</v>
      </c>
      <c r="D144" s="5" t="n">
        <v>1</v>
      </c>
      <c r="E144" s="5" t="s">
        <v>2865</v>
      </c>
      <c r="F144" s="1" t="s">
        <v>2654</v>
      </c>
      <c r="G144" s="5" t="s">
        <v>2866</v>
      </c>
    </row>
    <row r="145" customFormat="false" ht="15" hidden="false" customHeight="false" outlineLevel="0" collapsed="false">
      <c r="A145" s="1" t="s">
        <v>1831</v>
      </c>
      <c r="B145" s="1" t="n">
        <v>71</v>
      </c>
      <c r="C145" s="1" t="n">
        <v>1</v>
      </c>
      <c r="D145" s="1" t="n">
        <v>2</v>
      </c>
      <c r="E145" s="1" t="s">
        <v>2867</v>
      </c>
      <c r="F145" s="1" t="s">
        <v>2645</v>
      </c>
      <c r="G145" s="1" t="s">
        <v>2868</v>
      </c>
    </row>
    <row r="146" customFormat="false" ht="15" hidden="false" customHeight="false" outlineLevel="0" collapsed="false">
      <c r="A146" s="5" t="s">
        <v>1831</v>
      </c>
      <c r="B146" s="5" t="n">
        <v>71</v>
      </c>
      <c r="C146" s="5" t="n">
        <v>1</v>
      </c>
      <c r="D146" s="5" t="n">
        <v>3</v>
      </c>
      <c r="E146" s="5" t="s">
        <v>2869</v>
      </c>
      <c r="F146" s="1" t="s">
        <v>2649</v>
      </c>
      <c r="G146" s="5" t="s">
        <v>2870</v>
      </c>
    </row>
    <row r="147" customFormat="false" ht="15" hidden="false" customHeight="false" outlineLevel="0" collapsed="false">
      <c r="A147" s="5" t="s">
        <v>2205</v>
      </c>
      <c r="B147" s="5" t="n">
        <v>71</v>
      </c>
      <c r="C147" s="5" t="n">
        <v>2</v>
      </c>
      <c r="D147" s="5" t="n">
        <v>1</v>
      </c>
      <c r="E147" s="5" t="s">
        <v>2194</v>
      </c>
      <c r="F147" s="1" t="s">
        <v>2654</v>
      </c>
      <c r="G147" s="5" t="s">
        <v>2871</v>
      </c>
    </row>
    <row r="148" customFormat="false" ht="15" hidden="false" customHeight="false" outlineLevel="0" collapsed="false">
      <c r="A148" s="1" t="s">
        <v>2205</v>
      </c>
      <c r="B148" s="1" t="n">
        <v>71</v>
      </c>
      <c r="C148" s="1" t="n">
        <v>2</v>
      </c>
      <c r="D148" s="1" t="n">
        <v>1</v>
      </c>
      <c r="E148" s="1" t="s">
        <v>1592</v>
      </c>
      <c r="F148" s="1" t="s">
        <v>2649</v>
      </c>
      <c r="G148" s="1" t="s">
        <v>2872</v>
      </c>
    </row>
    <row r="149" customFormat="false" ht="15" hidden="false" customHeight="false" outlineLevel="0" collapsed="false">
      <c r="A149" s="5" t="s">
        <v>2205</v>
      </c>
      <c r="B149" s="5" t="n">
        <v>71</v>
      </c>
      <c r="C149" s="5" t="n">
        <v>2</v>
      </c>
      <c r="D149" s="5" t="n">
        <v>2</v>
      </c>
      <c r="E149" s="5" t="s">
        <v>2873</v>
      </c>
      <c r="F149" s="1" t="s">
        <v>2645</v>
      </c>
      <c r="G149" s="5" t="s">
        <v>2874</v>
      </c>
    </row>
    <row r="150" customFormat="false" ht="15" hidden="false" customHeight="false" outlineLevel="0" collapsed="false">
      <c r="A150" s="1" t="s">
        <v>2205</v>
      </c>
      <c r="B150" s="1" t="n">
        <v>71</v>
      </c>
      <c r="C150" s="1" t="n">
        <v>2</v>
      </c>
      <c r="D150" s="1" t="n">
        <v>3</v>
      </c>
      <c r="E150" s="1" t="s">
        <v>2875</v>
      </c>
      <c r="F150" s="1" t="s">
        <v>2654</v>
      </c>
      <c r="G150" s="1" t="s">
        <v>2876</v>
      </c>
    </row>
    <row r="151" customFormat="false" ht="15" hidden="false" customHeight="false" outlineLevel="0" collapsed="false">
      <c r="A151" s="1" t="s">
        <v>2214</v>
      </c>
      <c r="B151" s="1" t="n">
        <v>71</v>
      </c>
      <c r="C151" s="1" t="n">
        <v>3</v>
      </c>
      <c r="D151" s="1" t="n">
        <v>1</v>
      </c>
      <c r="E151" s="1" t="s">
        <v>2194</v>
      </c>
      <c r="F151" s="1" t="s">
        <v>2645</v>
      </c>
      <c r="G151" s="1" t="s">
        <v>2877</v>
      </c>
    </row>
    <row r="152" customFormat="false" ht="15" hidden="false" customHeight="false" outlineLevel="0" collapsed="false">
      <c r="A152" s="5" t="s">
        <v>2214</v>
      </c>
      <c r="B152" s="5" t="n">
        <v>71</v>
      </c>
      <c r="C152" s="5" t="n">
        <v>3</v>
      </c>
      <c r="D152" s="5" t="n">
        <v>1</v>
      </c>
      <c r="E152" s="5" t="s">
        <v>1592</v>
      </c>
      <c r="F152" s="1" t="s">
        <v>2654</v>
      </c>
      <c r="G152" s="5" t="s">
        <v>2878</v>
      </c>
    </row>
    <row r="153" customFormat="false" ht="15" hidden="false" customHeight="false" outlineLevel="0" collapsed="false">
      <c r="A153" s="1" t="s">
        <v>2214</v>
      </c>
      <c r="B153" s="1" t="n">
        <v>71</v>
      </c>
      <c r="C153" s="1" t="n">
        <v>3</v>
      </c>
      <c r="D153" s="1" t="n">
        <v>2</v>
      </c>
      <c r="E153" s="1" t="s">
        <v>1105</v>
      </c>
      <c r="F153" s="1" t="s">
        <v>2645</v>
      </c>
      <c r="G153" s="1" t="s">
        <v>2879</v>
      </c>
    </row>
    <row r="154" customFormat="false" ht="15" hidden="false" customHeight="false" outlineLevel="0" collapsed="false">
      <c r="A154" s="5" t="s">
        <v>2214</v>
      </c>
      <c r="B154" s="5" t="n">
        <v>71</v>
      </c>
      <c r="C154" s="5" t="n">
        <v>3</v>
      </c>
      <c r="D154" s="5" t="n">
        <v>3</v>
      </c>
      <c r="E154" s="5" t="s">
        <v>2863</v>
      </c>
      <c r="F154" s="1" t="s">
        <v>2649</v>
      </c>
      <c r="G154" s="5" t="s">
        <v>2880</v>
      </c>
    </row>
    <row r="155" customFormat="false" ht="15" hidden="false" customHeight="false" outlineLevel="0" collapsed="false">
      <c r="A155" s="1" t="s">
        <v>2214</v>
      </c>
      <c r="B155" s="1" t="n">
        <v>71</v>
      </c>
      <c r="C155" s="1" t="n">
        <v>3</v>
      </c>
      <c r="D155" s="1" t="n">
        <v>4</v>
      </c>
      <c r="E155" s="1" t="s">
        <v>2203</v>
      </c>
      <c r="F155" s="1" t="s">
        <v>2654</v>
      </c>
      <c r="G155" s="1" t="s">
        <v>2881</v>
      </c>
    </row>
    <row r="156" customFormat="false" ht="15" hidden="false" customHeight="false" outlineLevel="0" collapsed="false">
      <c r="A156" s="5" t="s">
        <v>2214</v>
      </c>
      <c r="B156" s="5" t="n">
        <v>71</v>
      </c>
      <c r="C156" s="5" t="n">
        <v>3</v>
      </c>
      <c r="D156" s="5" t="n">
        <v>1</v>
      </c>
      <c r="E156" s="5" t="s">
        <v>2882</v>
      </c>
      <c r="F156" s="1" t="s">
        <v>2645</v>
      </c>
      <c r="G156" s="5" t="s">
        <v>2883</v>
      </c>
    </row>
    <row r="157" customFormat="false" ht="15" hidden="false" customHeight="false" outlineLevel="0" collapsed="false">
      <c r="A157" s="1" t="s">
        <v>2214</v>
      </c>
      <c r="B157" s="1" t="n">
        <v>71</v>
      </c>
      <c r="C157" s="1" t="n">
        <v>3</v>
      </c>
      <c r="D157" s="1" t="n">
        <v>2</v>
      </c>
      <c r="E157" s="1" t="s">
        <v>2869</v>
      </c>
      <c r="F157" s="1" t="s">
        <v>2649</v>
      </c>
      <c r="G157" s="1" t="s">
        <v>2884</v>
      </c>
    </row>
    <row r="158" customFormat="false" ht="15" hidden="false" customHeight="false" outlineLevel="0" collapsed="false">
      <c r="A158" s="5" t="s">
        <v>2885</v>
      </c>
      <c r="B158" s="5" t="n">
        <v>77</v>
      </c>
      <c r="C158" s="5" t="n">
        <v>1</v>
      </c>
      <c r="D158" s="5" t="n">
        <v>1</v>
      </c>
      <c r="E158" s="5" t="s">
        <v>1228</v>
      </c>
      <c r="F158" s="1" t="s">
        <v>2654</v>
      </c>
      <c r="G158" s="5" t="s">
        <v>2886</v>
      </c>
    </row>
    <row r="159" customFormat="false" ht="15" hidden="false" customHeight="false" outlineLevel="0" collapsed="false">
      <c r="A159" s="1" t="s">
        <v>2885</v>
      </c>
      <c r="B159" s="1" t="n">
        <v>77</v>
      </c>
      <c r="C159" s="1" t="n">
        <v>1</v>
      </c>
      <c r="D159" s="1" t="n">
        <v>2</v>
      </c>
      <c r="E159" s="1" t="s">
        <v>2887</v>
      </c>
      <c r="F159" s="1" t="s">
        <v>2649</v>
      </c>
      <c r="G159" s="1" t="s">
        <v>2888</v>
      </c>
    </row>
    <row r="160" customFormat="false" ht="15" hidden="false" customHeight="false" outlineLevel="0" collapsed="false">
      <c r="A160" s="5" t="s">
        <v>2885</v>
      </c>
      <c r="B160" s="5" t="n">
        <v>77</v>
      </c>
      <c r="C160" s="5" t="n">
        <v>1</v>
      </c>
      <c r="D160" s="5" t="n">
        <v>3</v>
      </c>
      <c r="E160" s="5" t="s">
        <v>2889</v>
      </c>
      <c r="F160" s="1" t="s">
        <v>2649</v>
      </c>
      <c r="G160" s="5" t="s">
        <v>2890</v>
      </c>
    </row>
    <row r="161" customFormat="false" ht="15" hidden="false" customHeight="false" outlineLevel="0" collapsed="false">
      <c r="A161" s="5" t="s">
        <v>1840</v>
      </c>
      <c r="B161" s="5" t="n">
        <v>77</v>
      </c>
      <c r="C161" s="5" t="n">
        <v>2</v>
      </c>
      <c r="D161" s="5" t="n">
        <v>1</v>
      </c>
      <c r="E161" s="5" t="s">
        <v>2887</v>
      </c>
      <c r="F161" s="1" t="s">
        <v>2645</v>
      </c>
      <c r="G161" s="5" t="s">
        <v>2891</v>
      </c>
    </row>
    <row r="162" customFormat="false" ht="15" hidden="false" customHeight="false" outlineLevel="0" collapsed="false">
      <c r="A162" s="1" t="s">
        <v>1840</v>
      </c>
      <c r="B162" s="1" t="n">
        <v>77</v>
      </c>
      <c r="C162" s="1" t="n">
        <v>2</v>
      </c>
      <c r="D162" s="1" t="n">
        <v>2</v>
      </c>
      <c r="E162" s="1" t="s">
        <v>2889</v>
      </c>
      <c r="F162" s="1" t="s">
        <v>2645</v>
      </c>
      <c r="G162" s="1" t="s">
        <v>2892</v>
      </c>
    </row>
    <row r="163" customFormat="false" ht="15" hidden="false" customHeight="false" outlineLevel="0" collapsed="false">
      <c r="A163" s="1" t="s">
        <v>1076</v>
      </c>
      <c r="B163" s="1" t="n">
        <v>78</v>
      </c>
      <c r="C163" s="1" t="n">
        <v>1</v>
      </c>
      <c r="D163" s="1" t="n">
        <v>1</v>
      </c>
      <c r="E163" s="1" t="s">
        <v>2559</v>
      </c>
      <c r="F163" s="1" t="s">
        <v>2649</v>
      </c>
      <c r="G163" s="1" t="s">
        <v>2893</v>
      </c>
    </row>
    <row r="164" customFormat="false" ht="15" hidden="false" customHeight="false" outlineLevel="0" collapsed="false">
      <c r="A164" s="5" t="s">
        <v>1076</v>
      </c>
      <c r="B164" s="5" t="n">
        <v>78</v>
      </c>
      <c r="C164" s="5" t="n">
        <v>1</v>
      </c>
      <c r="D164" s="5" t="n">
        <v>2</v>
      </c>
      <c r="E164" s="5" t="s">
        <v>2227</v>
      </c>
      <c r="F164" s="1" t="s">
        <v>2645</v>
      </c>
      <c r="G164" s="5" t="s">
        <v>2894</v>
      </c>
    </row>
    <row r="165" customFormat="false" ht="15" hidden="false" customHeight="false" outlineLevel="0" collapsed="false">
      <c r="A165" s="1" t="s">
        <v>1076</v>
      </c>
      <c r="B165" s="1" t="n">
        <v>78</v>
      </c>
      <c r="C165" s="1" t="n">
        <v>1</v>
      </c>
      <c r="D165" s="1" t="n">
        <v>3</v>
      </c>
      <c r="E165" s="1" t="s">
        <v>2895</v>
      </c>
      <c r="F165" s="1" t="s">
        <v>2654</v>
      </c>
      <c r="G165" s="1" t="s">
        <v>2896</v>
      </c>
    </row>
    <row r="166" customFormat="false" ht="15" hidden="false" customHeight="false" outlineLevel="0" collapsed="false">
      <c r="A166" s="5" t="s">
        <v>1076</v>
      </c>
      <c r="B166" s="5" t="n">
        <v>78</v>
      </c>
      <c r="C166" s="5" t="n">
        <v>1</v>
      </c>
      <c r="D166" s="5" t="n">
        <v>4</v>
      </c>
      <c r="E166" s="5" t="s">
        <v>2227</v>
      </c>
      <c r="F166" s="1" t="s">
        <v>2649</v>
      </c>
      <c r="G166" s="5" t="s">
        <v>2897</v>
      </c>
    </row>
    <row r="167" customFormat="false" ht="15" hidden="false" customHeight="false" outlineLevel="0" collapsed="false">
      <c r="A167" s="1" t="s">
        <v>1076</v>
      </c>
      <c r="B167" s="1" t="n">
        <v>78</v>
      </c>
      <c r="C167" s="1" t="n">
        <v>1</v>
      </c>
      <c r="D167" s="1" t="n">
        <v>5</v>
      </c>
      <c r="E167" s="1" t="s">
        <v>2225</v>
      </c>
      <c r="F167" s="1" t="s">
        <v>2654</v>
      </c>
      <c r="G167" s="1" t="s">
        <v>2898</v>
      </c>
    </row>
    <row r="168" customFormat="false" ht="15" hidden="false" customHeight="false" outlineLevel="0" collapsed="false">
      <c r="A168" s="1" t="s">
        <v>1083</v>
      </c>
      <c r="B168" s="1" t="n">
        <v>78</v>
      </c>
      <c r="C168" s="1" t="n">
        <v>2</v>
      </c>
      <c r="D168" s="1" t="n">
        <v>1</v>
      </c>
      <c r="E168" s="1" t="s">
        <v>2227</v>
      </c>
      <c r="F168" s="1" t="s">
        <v>2649</v>
      </c>
      <c r="G168" s="1" t="s">
        <v>2899</v>
      </c>
    </row>
    <row r="169" customFormat="false" ht="15" hidden="false" customHeight="false" outlineLevel="0" collapsed="false">
      <c r="A169" s="1" t="s">
        <v>1087</v>
      </c>
      <c r="B169" s="1" t="n">
        <v>78</v>
      </c>
      <c r="C169" s="1" t="n">
        <v>3</v>
      </c>
      <c r="D169" s="1" t="n">
        <v>1</v>
      </c>
      <c r="E169" s="1" t="s">
        <v>2227</v>
      </c>
      <c r="F169" s="1" t="s">
        <v>2649</v>
      </c>
      <c r="G169" s="1" t="s">
        <v>2900</v>
      </c>
    </row>
    <row r="170" customFormat="false" ht="15" hidden="false" customHeight="false" outlineLevel="0" collapsed="false">
      <c r="A170" s="5" t="s">
        <v>1087</v>
      </c>
      <c r="B170" s="5" t="n">
        <v>78</v>
      </c>
      <c r="C170" s="5" t="n">
        <v>3</v>
      </c>
      <c r="D170" s="5" t="n">
        <v>2</v>
      </c>
      <c r="E170" s="5" t="s">
        <v>2557</v>
      </c>
      <c r="F170" s="1" t="s">
        <v>2645</v>
      </c>
      <c r="G170" s="5" t="s">
        <v>2901</v>
      </c>
    </row>
    <row r="171" customFormat="false" ht="15" hidden="false" customHeight="false" outlineLevel="0" collapsed="false">
      <c r="A171" s="1" t="s">
        <v>1087</v>
      </c>
      <c r="B171" s="1" t="n">
        <v>78</v>
      </c>
      <c r="C171" s="1" t="n">
        <v>3</v>
      </c>
      <c r="D171" s="1" t="n">
        <v>3</v>
      </c>
      <c r="E171" s="1" t="s">
        <v>2902</v>
      </c>
      <c r="F171" s="1" t="s">
        <v>2654</v>
      </c>
      <c r="G171" s="1" t="s">
        <v>2903</v>
      </c>
    </row>
    <row r="172" customFormat="false" ht="15" hidden="false" customHeight="false" outlineLevel="0" collapsed="false">
      <c r="A172" s="5" t="s">
        <v>1087</v>
      </c>
      <c r="B172" s="5" t="n">
        <v>78</v>
      </c>
      <c r="C172" s="5" t="n">
        <v>3</v>
      </c>
      <c r="D172" s="5" t="n">
        <v>4</v>
      </c>
      <c r="E172" s="5" t="s">
        <v>2225</v>
      </c>
      <c r="F172" s="1" t="s">
        <v>2649</v>
      </c>
      <c r="G172" s="5" t="s">
        <v>2904</v>
      </c>
    </row>
    <row r="173" customFormat="false" ht="15" hidden="false" customHeight="false" outlineLevel="0" collapsed="false">
      <c r="A173" s="1" t="s">
        <v>2905</v>
      </c>
      <c r="B173" s="1" t="n">
        <v>80</v>
      </c>
      <c r="C173" s="1" t="n">
        <v>1</v>
      </c>
      <c r="D173" s="1" t="n">
        <v>1</v>
      </c>
      <c r="E173" s="1" t="s">
        <v>2906</v>
      </c>
      <c r="F173" s="5" t="s">
        <v>1557</v>
      </c>
      <c r="G173" s="1" t="s">
        <v>2907</v>
      </c>
    </row>
    <row r="174" customFormat="false" ht="15" hidden="false" customHeight="false" outlineLevel="0" collapsed="false">
      <c r="A174" s="5" t="s">
        <v>2905</v>
      </c>
      <c r="B174" s="5" t="n">
        <v>80</v>
      </c>
      <c r="C174" s="5" t="n">
        <v>1</v>
      </c>
      <c r="D174" s="5" t="n">
        <v>2</v>
      </c>
      <c r="E174" s="5" t="s">
        <v>2908</v>
      </c>
      <c r="F174" s="1" t="s">
        <v>2654</v>
      </c>
      <c r="G174" s="5" t="s">
        <v>2909</v>
      </c>
    </row>
    <row r="175" customFormat="false" ht="15" hidden="false" customHeight="false" outlineLevel="0" collapsed="false">
      <c r="A175" s="1" t="s">
        <v>2905</v>
      </c>
      <c r="B175" s="1" t="n">
        <v>80</v>
      </c>
      <c r="C175" s="1" t="n">
        <v>1</v>
      </c>
      <c r="D175" s="1" t="n">
        <v>3</v>
      </c>
      <c r="E175" s="1" t="s">
        <v>2910</v>
      </c>
      <c r="F175" s="1" t="s">
        <v>2649</v>
      </c>
      <c r="G175" s="1" t="s">
        <v>2911</v>
      </c>
    </row>
    <row r="176" customFormat="false" ht="15" hidden="false" customHeight="false" outlineLevel="0" collapsed="false">
      <c r="A176" s="5" t="s">
        <v>2905</v>
      </c>
      <c r="B176" s="5" t="n">
        <v>80</v>
      </c>
      <c r="C176" s="5" t="n">
        <v>1</v>
      </c>
      <c r="D176" s="5" t="n">
        <v>4</v>
      </c>
      <c r="E176" s="5" t="s">
        <v>2237</v>
      </c>
      <c r="F176" s="1" t="s">
        <v>2654</v>
      </c>
      <c r="G176" s="5" t="s">
        <v>2912</v>
      </c>
    </row>
    <row r="177" customFormat="false" ht="15" hidden="false" customHeight="false" outlineLevel="0" collapsed="false">
      <c r="A177" s="1" t="s">
        <v>2905</v>
      </c>
      <c r="B177" s="1" t="n">
        <v>80</v>
      </c>
      <c r="C177" s="1" t="n">
        <v>1</v>
      </c>
      <c r="D177" s="1" t="n">
        <v>1</v>
      </c>
      <c r="E177" s="1" t="s">
        <v>2913</v>
      </c>
      <c r="F177" s="1" t="s">
        <v>2649</v>
      </c>
      <c r="G177" s="1" t="s">
        <v>2914</v>
      </c>
    </row>
    <row r="178" customFormat="false" ht="15" hidden="false" customHeight="false" outlineLevel="0" collapsed="false">
      <c r="A178" s="5" t="s">
        <v>2905</v>
      </c>
      <c r="B178" s="5" t="n">
        <v>80</v>
      </c>
      <c r="C178" s="5" t="n">
        <v>1</v>
      </c>
      <c r="D178" s="5" t="n">
        <v>2</v>
      </c>
      <c r="E178" s="5" t="s">
        <v>2590</v>
      </c>
      <c r="F178" s="1" t="s">
        <v>2654</v>
      </c>
      <c r="G178" s="5" t="s">
        <v>2915</v>
      </c>
    </row>
    <row r="179" customFormat="false" ht="15" hidden="false" customHeight="false" outlineLevel="0" collapsed="false">
      <c r="A179" s="1" t="s">
        <v>1091</v>
      </c>
      <c r="B179" s="1" t="n">
        <v>83</v>
      </c>
      <c r="C179" s="1" t="n">
        <v>1</v>
      </c>
      <c r="D179" s="1" t="n">
        <v>2</v>
      </c>
      <c r="E179" s="1" t="s">
        <v>2916</v>
      </c>
      <c r="F179" s="1" t="s">
        <v>2649</v>
      </c>
      <c r="G179" s="1" t="s">
        <v>2917</v>
      </c>
    </row>
    <row r="180" customFormat="false" ht="15" hidden="false" customHeight="false" outlineLevel="0" collapsed="false">
      <c r="A180" s="5" t="s">
        <v>1091</v>
      </c>
      <c r="B180" s="5" t="n">
        <v>83</v>
      </c>
      <c r="C180" s="5" t="n">
        <v>1</v>
      </c>
      <c r="D180" s="5" t="n">
        <v>3</v>
      </c>
      <c r="E180" s="5" t="s">
        <v>2918</v>
      </c>
      <c r="F180" s="1" t="s">
        <v>2649</v>
      </c>
      <c r="G180" s="5" t="s">
        <v>2919</v>
      </c>
    </row>
    <row r="181" customFormat="false" ht="15" hidden="false" customHeight="false" outlineLevel="0" collapsed="false">
      <c r="A181" s="5" t="s">
        <v>1098</v>
      </c>
      <c r="B181" s="5" t="n">
        <v>83</v>
      </c>
      <c r="C181" s="5" t="n">
        <v>2</v>
      </c>
      <c r="D181" s="5" t="n">
        <v>1</v>
      </c>
      <c r="E181" s="5" t="s">
        <v>1107</v>
      </c>
      <c r="F181" s="1" t="s">
        <v>2645</v>
      </c>
      <c r="G181" s="5" t="s">
        <v>2920</v>
      </c>
    </row>
    <row r="182" customFormat="false" ht="15" hidden="false" customHeight="false" outlineLevel="0" collapsed="false">
      <c r="A182" s="1" t="s">
        <v>1098</v>
      </c>
      <c r="B182" s="1" t="n">
        <v>83</v>
      </c>
      <c r="C182" s="1" t="n">
        <v>2</v>
      </c>
      <c r="D182" s="1" t="n">
        <v>2</v>
      </c>
      <c r="E182" s="1" t="s">
        <v>1107</v>
      </c>
      <c r="F182" s="1" t="s">
        <v>2649</v>
      </c>
      <c r="G182" s="1" t="s">
        <v>2921</v>
      </c>
    </row>
    <row r="183" customFormat="false" ht="15" hidden="false" customHeight="false" outlineLevel="0" collapsed="false">
      <c r="A183" s="5" t="s">
        <v>1098</v>
      </c>
      <c r="B183" s="5" t="n">
        <v>83</v>
      </c>
      <c r="C183" s="5" t="n">
        <v>2</v>
      </c>
      <c r="D183" s="5" t="n">
        <v>3</v>
      </c>
      <c r="E183" s="5" t="s">
        <v>2922</v>
      </c>
      <c r="F183" s="1" t="s">
        <v>2654</v>
      </c>
      <c r="G183" s="5" t="s">
        <v>2923</v>
      </c>
    </row>
    <row r="184" customFormat="false" ht="15" hidden="false" customHeight="false" outlineLevel="0" collapsed="false">
      <c r="A184" s="1" t="s">
        <v>1098</v>
      </c>
      <c r="B184" s="1" t="n">
        <v>83</v>
      </c>
      <c r="C184" s="1" t="n">
        <v>2</v>
      </c>
      <c r="D184" s="1" t="n">
        <v>4</v>
      </c>
      <c r="E184" s="1" t="s">
        <v>2916</v>
      </c>
      <c r="F184" s="1" t="s">
        <v>2654</v>
      </c>
      <c r="G184" s="1" t="s">
        <v>2924</v>
      </c>
    </row>
    <row r="185" customFormat="false" ht="15" hidden="false" customHeight="false" outlineLevel="0" collapsed="false">
      <c r="A185" s="5" t="s">
        <v>1101</v>
      </c>
      <c r="B185" s="5" t="n">
        <v>83</v>
      </c>
      <c r="C185" s="5" t="n">
        <v>3</v>
      </c>
      <c r="D185" s="5" t="n">
        <v>1</v>
      </c>
      <c r="E185" s="5" t="s">
        <v>2918</v>
      </c>
      <c r="F185" s="1" t="s">
        <v>2649</v>
      </c>
      <c r="G185" s="5" t="s">
        <v>2925</v>
      </c>
    </row>
    <row r="186" customFormat="false" ht="15" hidden="false" customHeight="false" outlineLevel="0" collapsed="false">
      <c r="A186" s="1" t="s">
        <v>1101</v>
      </c>
      <c r="B186" s="1" t="n">
        <v>83</v>
      </c>
      <c r="C186" s="1" t="n">
        <v>3</v>
      </c>
      <c r="D186" s="1" t="n">
        <v>2</v>
      </c>
      <c r="E186" s="1" t="s">
        <v>2916</v>
      </c>
      <c r="F186" s="1" t="s">
        <v>2654</v>
      </c>
      <c r="G186" s="1" t="s">
        <v>2926</v>
      </c>
    </row>
    <row r="187" customFormat="false" ht="15" hidden="false" customHeight="false" outlineLevel="0" collapsed="false">
      <c r="A187" s="1" t="s">
        <v>2927</v>
      </c>
      <c r="B187" s="1" t="n">
        <v>90</v>
      </c>
      <c r="C187" s="1" t="n">
        <v>1</v>
      </c>
      <c r="D187" s="1" t="n">
        <v>1</v>
      </c>
      <c r="E187" s="1" t="s">
        <v>1056</v>
      </c>
      <c r="F187" s="1" t="s">
        <v>2645</v>
      </c>
      <c r="G187" s="1" t="s">
        <v>2928</v>
      </c>
    </row>
    <row r="188" customFormat="false" ht="15" hidden="false" customHeight="false" outlineLevel="0" collapsed="false">
      <c r="A188" s="5" t="s">
        <v>2927</v>
      </c>
      <c r="B188" s="5" t="n">
        <v>90</v>
      </c>
      <c r="C188" s="5" t="n">
        <v>1</v>
      </c>
      <c r="D188" s="5" t="n">
        <v>2</v>
      </c>
      <c r="E188" s="5" t="s">
        <v>1056</v>
      </c>
      <c r="F188" s="1" t="s">
        <v>2649</v>
      </c>
      <c r="G188" s="5" t="s">
        <v>2929</v>
      </c>
    </row>
    <row r="189" customFormat="false" ht="15" hidden="false" customHeight="false" outlineLevel="0" collapsed="false">
      <c r="A189" s="1" t="s">
        <v>2927</v>
      </c>
      <c r="B189" s="1" t="n">
        <v>90</v>
      </c>
      <c r="C189" s="1" t="n">
        <v>1</v>
      </c>
      <c r="D189" s="1" t="n">
        <v>3</v>
      </c>
      <c r="E189" s="1" t="s">
        <v>1058</v>
      </c>
      <c r="F189" s="1" t="s">
        <v>2654</v>
      </c>
      <c r="G189" s="1" t="s">
        <v>2930</v>
      </c>
    </row>
    <row r="190" customFormat="false" ht="15" hidden="false" customHeight="false" outlineLevel="0" collapsed="false">
      <c r="A190" s="5" t="s">
        <v>2927</v>
      </c>
      <c r="B190" s="5" t="n">
        <v>90</v>
      </c>
      <c r="C190" s="5" t="n">
        <v>1</v>
      </c>
      <c r="D190" s="5" t="n">
        <v>4</v>
      </c>
      <c r="E190" s="5" t="s">
        <v>1058</v>
      </c>
      <c r="F190" s="1" t="s">
        <v>2649</v>
      </c>
      <c r="G190" s="5" t="s">
        <v>2931</v>
      </c>
    </row>
    <row r="191" customFormat="false" ht="15" hidden="false" customHeight="false" outlineLevel="0" collapsed="false">
      <c r="A191" s="5" t="s">
        <v>2932</v>
      </c>
      <c r="B191" s="5" t="n">
        <v>90</v>
      </c>
      <c r="C191" s="5" t="n">
        <v>2</v>
      </c>
      <c r="D191" s="5" t="n">
        <v>1</v>
      </c>
      <c r="E191" s="5" t="s">
        <v>1056</v>
      </c>
      <c r="F191" s="1" t="s">
        <v>2645</v>
      </c>
      <c r="G191" s="5" t="s">
        <v>2933</v>
      </c>
    </row>
    <row r="192" customFormat="false" ht="15" hidden="false" customHeight="false" outlineLevel="0" collapsed="false">
      <c r="A192" s="1" t="s">
        <v>2932</v>
      </c>
      <c r="B192" s="1" t="n">
        <v>90</v>
      </c>
      <c r="C192" s="1" t="n">
        <v>2</v>
      </c>
      <c r="D192" s="1" t="n">
        <v>3</v>
      </c>
      <c r="E192" s="1" t="s">
        <v>1526</v>
      </c>
      <c r="F192" s="1" t="s">
        <v>2654</v>
      </c>
      <c r="G192" s="1" t="s">
        <v>2934</v>
      </c>
    </row>
    <row r="193" customFormat="false" ht="15" hidden="false" customHeight="false" outlineLevel="0" collapsed="false">
      <c r="A193" s="1" t="s">
        <v>2935</v>
      </c>
      <c r="B193" s="1" t="n">
        <v>90</v>
      </c>
      <c r="C193" s="1" t="n">
        <v>3</v>
      </c>
      <c r="D193" s="1" t="n">
        <v>1</v>
      </c>
      <c r="E193" s="1" t="s">
        <v>1056</v>
      </c>
      <c r="F193" s="1" t="s">
        <v>2645</v>
      </c>
      <c r="G193" s="1" t="s">
        <v>2936</v>
      </c>
    </row>
    <row r="194" customFormat="false" ht="15" hidden="false" customHeight="false" outlineLevel="0" collapsed="false">
      <c r="A194" s="5" t="s">
        <v>2937</v>
      </c>
      <c r="B194" s="5" t="n">
        <v>94</v>
      </c>
      <c r="C194" s="5" t="n">
        <v>1</v>
      </c>
      <c r="D194" s="5" t="n">
        <v>1</v>
      </c>
      <c r="E194" s="5" t="s">
        <v>2938</v>
      </c>
      <c r="F194" s="1" t="s">
        <v>2645</v>
      </c>
      <c r="G194" s="5" t="s">
        <v>2939</v>
      </c>
    </row>
    <row r="195" customFormat="false" ht="15" hidden="false" customHeight="false" outlineLevel="0" collapsed="false">
      <c r="A195" s="1" t="s">
        <v>2937</v>
      </c>
      <c r="B195" s="1" t="n">
        <v>94</v>
      </c>
      <c r="C195" s="1" t="n">
        <v>1</v>
      </c>
      <c r="D195" s="1" t="n">
        <v>2</v>
      </c>
      <c r="E195" s="1" t="s">
        <v>2940</v>
      </c>
      <c r="F195" s="1" t="s">
        <v>2654</v>
      </c>
      <c r="G195" s="1" t="s">
        <v>2941</v>
      </c>
    </row>
    <row r="196" customFormat="false" ht="15" hidden="false" customHeight="false" outlineLevel="0" collapsed="false">
      <c r="A196" s="1" t="s">
        <v>2942</v>
      </c>
      <c r="B196" s="1" t="n">
        <v>94</v>
      </c>
      <c r="C196" s="1" t="n">
        <v>2</v>
      </c>
      <c r="D196" s="1" t="n">
        <v>1</v>
      </c>
      <c r="E196" s="1" t="s">
        <v>2943</v>
      </c>
      <c r="F196" s="1" t="s">
        <v>2649</v>
      </c>
      <c r="G196" s="1" t="s">
        <v>2944</v>
      </c>
    </row>
    <row r="197" customFormat="false" ht="15" hidden="false" customHeight="false" outlineLevel="0" collapsed="false">
      <c r="A197" s="5" t="s">
        <v>2942</v>
      </c>
      <c r="B197" s="5" t="n">
        <v>94</v>
      </c>
      <c r="C197" s="5" t="n">
        <v>2</v>
      </c>
      <c r="D197" s="5" t="n">
        <v>1</v>
      </c>
      <c r="E197" s="5" t="s">
        <v>2945</v>
      </c>
      <c r="F197" s="1" t="s">
        <v>2649</v>
      </c>
      <c r="G197" s="5" t="s">
        <v>2946</v>
      </c>
    </row>
    <row r="198" customFormat="false" ht="15" hidden="false" customHeight="false" outlineLevel="0" collapsed="false">
      <c r="A198" s="1" t="s">
        <v>2942</v>
      </c>
      <c r="B198" s="1" t="n">
        <v>94</v>
      </c>
      <c r="C198" s="1" t="n">
        <v>2</v>
      </c>
      <c r="D198" s="1" t="n">
        <v>2</v>
      </c>
      <c r="E198" s="1" t="s">
        <v>2947</v>
      </c>
      <c r="F198" s="1" t="s">
        <v>2654</v>
      </c>
      <c r="G198" s="1" t="s">
        <v>2948</v>
      </c>
    </row>
    <row r="199" customFormat="false" ht="15" hidden="false" customHeight="false" outlineLevel="0" collapsed="false">
      <c r="A199" s="1" t="s">
        <v>2241</v>
      </c>
      <c r="B199" s="1" t="n">
        <v>94</v>
      </c>
      <c r="C199" s="1" t="n">
        <v>3</v>
      </c>
      <c r="D199" s="1" t="n">
        <v>1</v>
      </c>
      <c r="E199" s="1" t="s">
        <v>2938</v>
      </c>
      <c r="F199" s="1" t="s">
        <v>2645</v>
      </c>
      <c r="G199" s="1" t="s">
        <v>2949</v>
      </c>
    </row>
    <row r="200" customFormat="false" ht="15" hidden="false" customHeight="false" outlineLevel="0" collapsed="false">
      <c r="A200" s="5" t="s">
        <v>2241</v>
      </c>
      <c r="B200" s="5" t="n">
        <v>94</v>
      </c>
      <c r="C200" s="5" t="n">
        <v>3</v>
      </c>
      <c r="D200" s="5" t="n">
        <v>2</v>
      </c>
      <c r="E200" s="5" t="s">
        <v>2938</v>
      </c>
      <c r="F200" s="1" t="s">
        <v>2649</v>
      </c>
      <c r="G200" s="5" t="s">
        <v>2950</v>
      </c>
    </row>
    <row r="201" customFormat="false" ht="15" hidden="false" customHeight="false" outlineLevel="0" collapsed="false">
      <c r="A201" s="1" t="s">
        <v>2241</v>
      </c>
      <c r="B201" s="1" t="n">
        <v>94</v>
      </c>
      <c r="C201" s="1" t="n">
        <v>3</v>
      </c>
      <c r="D201" s="1" t="n">
        <v>1</v>
      </c>
      <c r="E201" s="1" t="s">
        <v>2945</v>
      </c>
      <c r="F201" s="1" t="s">
        <v>2645</v>
      </c>
      <c r="G201" s="1" t="s">
        <v>2951</v>
      </c>
    </row>
    <row r="202" customFormat="false" ht="15" hidden="false" customHeight="false" outlineLevel="0" collapsed="false">
      <c r="A202" s="5" t="s">
        <v>2952</v>
      </c>
      <c r="B202" s="5" t="n">
        <v>96</v>
      </c>
      <c r="C202" s="5" t="n">
        <v>2</v>
      </c>
      <c r="D202" s="5" t="n">
        <v>1</v>
      </c>
      <c r="E202" s="5" t="s">
        <v>2953</v>
      </c>
      <c r="F202" s="1" t="s">
        <v>2645</v>
      </c>
      <c r="G202" s="5" t="s">
        <v>2954</v>
      </c>
    </row>
    <row r="203" customFormat="false" ht="15" hidden="false" customHeight="false" outlineLevel="0" collapsed="false">
      <c r="A203" s="1" t="s">
        <v>2955</v>
      </c>
      <c r="B203" s="1" t="n">
        <v>97</v>
      </c>
      <c r="C203" s="1" t="n">
        <v>1</v>
      </c>
      <c r="D203" s="1" t="n">
        <v>1</v>
      </c>
      <c r="E203" s="1" t="s">
        <v>2956</v>
      </c>
      <c r="F203" s="1" t="s">
        <v>2654</v>
      </c>
      <c r="G203" s="1" t="s">
        <v>2957</v>
      </c>
    </row>
    <row r="204" customFormat="false" ht="15" hidden="false" customHeight="false" outlineLevel="0" collapsed="false">
      <c r="A204" s="5" t="s">
        <v>2955</v>
      </c>
      <c r="B204" s="5" t="n">
        <v>97</v>
      </c>
      <c r="C204" s="5" t="n">
        <v>1</v>
      </c>
      <c r="D204" s="5" t="n">
        <v>2</v>
      </c>
      <c r="E204" s="5" t="s">
        <v>2958</v>
      </c>
      <c r="F204" s="1" t="s">
        <v>2649</v>
      </c>
      <c r="G204" s="5" t="s">
        <v>2959</v>
      </c>
    </row>
    <row r="205" customFormat="false" ht="15" hidden="false" customHeight="false" outlineLevel="0" collapsed="false">
      <c r="A205" s="5" t="s">
        <v>1944</v>
      </c>
      <c r="B205" s="5" t="n">
        <v>97</v>
      </c>
      <c r="C205" s="5" t="n">
        <v>3</v>
      </c>
      <c r="D205" s="5" t="n">
        <v>1</v>
      </c>
      <c r="E205" s="5" t="s">
        <v>2956</v>
      </c>
      <c r="F205" s="1" t="s">
        <v>2654</v>
      </c>
      <c r="G205" s="5" t="s">
        <v>2960</v>
      </c>
    </row>
    <row r="206" customFormat="false" ht="15" hidden="false" customHeight="false" outlineLevel="0" collapsed="false">
      <c r="A206" s="1" t="s">
        <v>1944</v>
      </c>
      <c r="B206" s="1" t="n">
        <v>97</v>
      </c>
      <c r="C206" s="1" t="n">
        <v>3</v>
      </c>
      <c r="D206" s="1" t="n">
        <v>2</v>
      </c>
      <c r="E206" s="1" t="s">
        <v>2958</v>
      </c>
      <c r="F206" s="1" t="s">
        <v>2645</v>
      </c>
      <c r="G206" s="1" t="s">
        <v>2961</v>
      </c>
    </row>
    <row r="207" customFormat="false" ht="15" hidden="false" customHeight="false" outlineLevel="0" collapsed="false">
      <c r="A207" s="5" t="s">
        <v>2962</v>
      </c>
      <c r="B207" s="5" t="n">
        <v>100</v>
      </c>
      <c r="C207" s="5" t="n">
        <v>1</v>
      </c>
      <c r="D207" s="5" t="n">
        <v>1</v>
      </c>
      <c r="E207" s="5" t="s">
        <v>1105</v>
      </c>
      <c r="F207" s="1" t="s">
        <v>2645</v>
      </c>
      <c r="G207" s="5" t="s">
        <v>2963</v>
      </c>
    </row>
    <row r="208" customFormat="false" ht="15" hidden="false" customHeight="false" outlineLevel="0" collapsed="false">
      <c r="A208" s="5" t="s">
        <v>2964</v>
      </c>
      <c r="B208" s="5" t="n">
        <v>100</v>
      </c>
      <c r="C208" s="5" t="n">
        <v>2</v>
      </c>
      <c r="D208" s="5" t="n">
        <v>1</v>
      </c>
      <c r="E208" s="5" t="s">
        <v>1105</v>
      </c>
      <c r="F208" s="1" t="s">
        <v>2654</v>
      </c>
      <c r="G208" s="5" t="s">
        <v>2965</v>
      </c>
    </row>
    <row r="209" customFormat="false" ht="15" hidden="false" customHeight="false" outlineLevel="0" collapsed="false">
      <c r="A209" s="1" t="s">
        <v>2964</v>
      </c>
      <c r="B209" s="1" t="n">
        <v>100</v>
      </c>
      <c r="C209" s="1" t="n">
        <v>2</v>
      </c>
      <c r="D209" s="1" t="n">
        <v>2</v>
      </c>
      <c r="E209" s="1" t="s">
        <v>1592</v>
      </c>
      <c r="F209" s="1" t="s">
        <v>2649</v>
      </c>
      <c r="G209" s="1" t="s">
        <v>2966</v>
      </c>
    </row>
    <row r="210" customFormat="false" ht="15" hidden="false" customHeight="false" outlineLevel="0" collapsed="false">
      <c r="A210" s="1" t="s">
        <v>2967</v>
      </c>
      <c r="B210" s="1" t="n">
        <v>100</v>
      </c>
      <c r="C210" s="1" t="n">
        <v>3</v>
      </c>
      <c r="D210" s="1" t="n">
        <v>1</v>
      </c>
      <c r="E210" s="1" t="s">
        <v>1105</v>
      </c>
      <c r="F210" s="1" t="s">
        <v>2654</v>
      </c>
      <c r="G210" s="1" t="s">
        <v>2968</v>
      </c>
    </row>
    <row r="211" customFormat="false" ht="15" hidden="false" customHeight="false" outlineLevel="0" collapsed="false">
      <c r="A211" s="5" t="s">
        <v>2967</v>
      </c>
      <c r="B211" s="5" t="n">
        <v>100</v>
      </c>
      <c r="C211" s="5" t="n">
        <v>3</v>
      </c>
      <c r="D211" s="5" t="n">
        <v>2</v>
      </c>
      <c r="E211" s="5" t="s">
        <v>1105</v>
      </c>
      <c r="F211" s="1" t="s">
        <v>2645</v>
      </c>
      <c r="G211" s="5" t="s">
        <v>2969</v>
      </c>
    </row>
    <row r="212" customFormat="false" ht="15" hidden="false" customHeight="false" outlineLevel="0" collapsed="false">
      <c r="A212" s="1" t="s">
        <v>2967</v>
      </c>
      <c r="B212" s="1" t="n">
        <v>100</v>
      </c>
      <c r="C212" s="1" t="n">
        <v>3</v>
      </c>
      <c r="D212" s="1" t="n">
        <v>3</v>
      </c>
      <c r="E212" s="1" t="s">
        <v>1107</v>
      </c>
      <c r="F212" s="1" t="s">
        <v>2645</v>
      </c>
      <c r="G212" s="1" t="s">
        <v>2970</v>
      </c>
    </row>
    <row r="213" customFormat="false" ht="15" hidden="false" customHeight="false" outlineLevel="0" collapsed="false">
      <c r="A213" s="5" t="s">
        <v>2967</v>
      </c>
      <c r="B213" s="5" t="n">
        <v>100</v>
      </c>
      <c r="C213" s="5" t="n">
        <v>3</v>
      </c>
      <c r="D213" s="5" t="n">
        <v>4</v>
      </c>
      <c r="E213" s="5" t="s">
        <v>2971</v>
      </c>
      <c r="F213" s="1" t="s">
        <v>2649</v>
      </c>
      <c r="G213" s="5" t="s">
        <v>2972</v>
      </c>
    </row>
    <row r="214" customFormat="false" ht="15" hidden="false" customHeight="false" outlineLevel="0" collapsed="false">
      <c r="A214" s="1" t="s">
        <v>2967</v>
      </c>
      <c r="B214" s="1" t="n">
        <v>100</v>
      </c>
      <c r="C214" s="1" t="n">
        <v>3</v>
      </c>
      <c r="D214" s="1" t="n">
        <v>5</v>
      </c>
      <c r="E214" s="1" t="s">
        <v>2973</v>
      </c>
      <c r="F214" s="1" t="s">
        <v>2649</v>
      </c>
      <c r="G214" s="1" t="s">
        <v>2974</v>
      </c>
    </row>
    <row r="215" customFormat="false" ht="15" hidden="false" customHeight="false" outlineLevel="0" collapsed="false">
      <c r="A215" s="5" t="s">
        <v>2975</v>
      </c>
      <c r="B215" s="5" t="n">
        <v>125</v>
      </c>
      <c r="C215" s="5" t="n">
        <v>1</v>
      </c>
      <c r="D215" s="5" t="n">
        <v>1</v>
      </c>
      <c r="E215" s="5" t="s">
        <v>2976</v>
      </c>
      <c r="F215" s="1" t="s">
        <v>2649</v>
      </c>
      <c r="G215" s="5" t="s">
        <v>2977</v>
      </c>
    </row>
    <row r="216" customFormat="false" ht="15" hidden="false" customHeight="false" outlineLevel="0" collapsed="false">
      <c r="A216" s="1" t="s">
        <v>2975</v>
      </c>
      <c r="B216" s="1" t="n">
        <v>125</v>
      </c>
      <c r="C216" s="1" t="n">
        <v>1</v>
      </c>
      <c r="D216" s="1" t="n">
        <v>2</v>
      </c>
      <c r="E216" s="1" t="s">
        <v>2978</v>
      </c>
      <c r="F216" s="1" t="s">
        <v>2654</v>
      </c>
      <c r="G216" s="1" t="s">
        <v>2979</v>
      </c>
    </row>
    <row r="217" customFormat="false" ht="15" hidden="false" customHeight="false" outlineLevel="0" collapsed="false">
      <c r="A217" s="5" t="s">
        <v>2975</v>
      </c>
      <c r="B217" s="5" t="n">
        <v>125</v>
      </c>
      <c r="C217" s="5" t="n">
        <v>1</v>
      </c>
      <c r="D217" s="5" t="n">
        <v>1</v>
      </c>
      <c r="E217" s="5" t="s">
        <v>2980</v>
      </c>
      <c r="F217" s="1" t="s">
        <v>2649</v>
      </c>
      <c r="G217" s="5" t="s">
        <v>2981</v>
      </c>
    </row>
    <row r="218" customFormat="false" ht="15" hidden="false" customHeight="false" outlineLevel="0" collapsed="false">
      <c r="A218" s="1" t="s">
        <v>2975</v>
      </c>
      <c r="B218" s="1" t="n">
        <v>125</v>
      </c>
      <c r="C218" s="1" t="n">
        <v>1</v>
      </c>
      <c r="D218" s="1" t="n">
        <v>2</v>
      </c>
      <c r="E218" s="1" t="s">
        <v>2982</v>
      </c>
      <c r="F218" s="1" t="s">
        <v>2654</v>
      </c>
      <c r="G218" s="1" t="s">
        <v>2983</v>
      </c>
    </row>
    <row r="219" customFormat="false" ht="15" hidden="false" customHeight="false" outlineLevel="0" collapsed="false">
      <c r="A219" s="1" t="s">
        <v>2984</v>
      </c>
      <c r="B219" s="1" t="n">
        <v>125</v>
      </c>
      <c r="C219" s="1" t="n">
        <v>2</v>
      </c>
      <c r="D219" s="1" t="n">
        <v>1</v>
      </c>
      <c r="E219" s="1" t="s">
        <v>2976</v>
      </c>
      <c r="F219" s="1" t="s">
        <v>2649</v>
      </c>
      <c r="G219" s="1" t="s">
        <v>2985</v>
      </c>
    </row>
    <row r="220" customFormat="false" ht="15" hidden="false" customHeight="false" outlineLevel="0" collapsed="false">
      <c r="A220" s="5" t="s">
        <v>2984</v>
      </c>
      <c r="B220" s="5" t="n">
        <v>125</v>
      </c>
      <c r="C220" s="5" t="n">
        <v>2</v>
      </c>
      <c r="D220" s="5" t="n">
        <v>2</v>
      </c>
      <c r="E220" s="5" t="s">
        <v>2978</v>
      </c>
      <c r="F220" s="1" t="s">
        <v>2654</v>
      </c>
      <c r="G220" s="5" t="s">
        <v>2986</v>
      </c>
    </row>
    <row r="221" customFormat="false" ht="15" hidden="false" customHeight="false" outlineLevel="0" collapsed="false">
      <c r="A221" s="1" t="s">
        <v>2984</v>
      </c>
      <c r="B221" s="1" t="n">
        <v>125</v>
      </c>
      <c r="C221" s="1" t="n">
        <v>2</v>
      </c>
      <c r="D221" s="1" t="n">
        <v>1</v>
      </c>
      <c r="E221" s="1" t="s">
        <v>2980</v>
      </c>
      <c r="F221" s="1" t="s">
        <v>2649</v>
      </c>
      <c r="G221" s="1" t="s">
        <v>2987</v>
      </c>
    </row>
    <row r="222" customFormat="false" ht="15" hidden="false" customHeight="false" outlineLevel="0" collapsed="false">
      <c r="A222" s="5" t="s">
        <v>2988</v>
      </c>
      <c r="B222" s="5" t="n">
        <v>125</v>
      </c>
      <c r="C222" s="5" t="n">
        <v>3</v>
      </c>
      <c r="D222" s="5" t="n">
        <v>1</v>
      </c>
      <c r="E222" s="5" t="s">
        <v>2989</v>
      </c>
      <c r="F222" s="1" t="s">
        <v>2649</v>
      </c>
      <c r="G222" s="5" t="s">
        <v>2990</v>
      </c>
    </row>
    <row r="223" customFormat="false" ht="15" hidden="false" customHeight="false" outlineLevel="0" collapsed="false">
      <c r="A223" s="1" t="s">
        <v>2988</v>
      </c>
      <c r="B223" s="1" t="n">
        <v>125</v>
      </c>
      <c r="C223" s="1" t="n">
        <v>3</v>
      </c>
      <c r="D223" s="1" t="n">
        <v>2</v>
      </c>
      <c r="E223" s="1" t="s">
        <v>2978</v>
      </c>
      <c r="F223" s="1" t="s">
        <v>2645</v>
      </c>
      <c r="G223" s="1" t="s">
        <v>2991</v>
      </c>
    </row>
    <row r="224" customFormat="false" ht="15" hidden="false" customHeight="false" outlineLevel="0" collapsed="false">
      <c r="A224" s="5" t="s">
        <v>2988</v>
      </c>
      <c r="B224" s="5" t="n">
        <v>125</v>
      </c>
      <c r="C224" s="5" t="n">
        <v>3</v>
      </c>
      <c r="D224" s="5" t="n">
        <v>3</v>
      </c>
      <c r="E224" s="5" t="s">
        <v>2980</v>
      </c>
      <c r="F224" s="1" t="s">
        <v>2654</v>
      </c>
      <c r="G224" s="5" t="s">
        <v>2992</v>
      </c>
    </row>
    <row r="225" customFormat="false" ht="15" hidden="false" customHeight="false" outlineLevel="0" collapsed="false">
      <c r="A225" s="1" t="s">
        <v>2283</v>
      </c>
      <c r="B225" s="1" t="n">
        <v>143</v>
      </c>
      <c r="C225" s="1" t="n">
        <v>2</v>
      </c>
      <c r="D225" s="1" t="n">
        <v>1</v>
      </c>
      <c r="E225" s="1" t="s">
        <v>2993</v>
      </c>
      <c r="F225" s="1" t="s">
        <v>2654</v>
      </c>
      <c r="G225" s="1" t="s">
        <v>2994</v>
      </c>
    </row>
    <row r="226" customFormat="false" ht="15" hidden="false" customHeight="false" outlineLevel="0" collapsed="false">
      <c r="A226" s="5" t="s">
        <v>2283</v>
      </c>
      <c r="B226" s="5" t="n">
        <v>143</v>
      </c>
      <c r="C226" s="5" t="n">
        <v>2</v>
      </c>
      <c r="D226" s="5" t="n">
        <v>2</v>
      </c>
      <c r="E226" s="5" t="s">
        <v>2993</v>
      </c>
      <c r="F226" s="1" t="s">
        <v>2649</v>
      </c>
      <c r="G226" s="5" t="s">
        <v>2995</v>
      </c>
    </row>
    <row r="227" customFormat="false" ht="15" hidden="false" customHeight="false" outlineLevel="0" collapsed="false">
      <c r="A227" s="1" t="s">
        <v>2283</v>
      </c>
      <c r="B227" s="1" t="n">
        <v>143</v>
      </c>
      <c r="C227" s="1" t="n">
        <v>2</v>
      </c>
      <c r="D227" s="1" t="n">
        <v>1</v>
      </c>
      <c r="E227" s="1" t="s">
        <v>2996</v>
      </c>
      <c r="F227" s="1" t="s">
        <v>2649</v>
      </c>
      <c r="G227" s="1" t="s">
        <v>2997</v>
      </c>
    </row>
    <row r="228" customFormat="false" ht="15" hidden="false" customHeight="false" outlineLevel="0" collapsed="false">
      <c r="A228" s="5" t="s">
        <v>2288</v>
      </c>
      <c r="B228" s="5" t="n">
        <v>143</v>
      </c>
      <c r="C228" s="5" t="n">
        <v>3</v>
      </c>
      <c r="D228" s="5" t="n">
        <v>1</v>
      </c>
      <c r="E228" s="5" t="s">
        <v>2998</v>
      </c>
      <c r="F228" s="1" t="s">
        <v>2645</v>
      </c>
      <c r="G228" s="5" t="s">
        <v>2999</v>
      </c>
    </row>
    <row r="229" customFormat="false" ht="15" hidden="false" customHeight="false" outlineLevel="0" collapsed="false">
      <c r="A229" s="1" t="s">
        <v>2288</v>
      </c>
      <c r="B229" s="1" t="n">
        <v>143</v>
      </c>
      <c r="C229" s="1" t="n">
        <v>3</v>
      </c>
      <c r="D229" s="1" t="n">
        <v>2</v>
      </c>
      <c r="E229" s="1" t="s">
        <v>3000</v>
      </c>
      <c r="F229" s="1" t="s">
        <v>2654</v>
      </c>
      <c r="G229" s="1" t="s">
        <v>3001</v>
      </c>
    </row>
    <row r="230" customFormat="false" ht="15" hidden="false" customHeight="false" outlineLevel="0" collapsed="false">
      <c r="A230" s="5" t="s">
        <v>2288</v>
      </c>
      <c r="B230" s="5" t="n">
        <v>143</v>
      </c>
      <c r="C230" s="5" t="n">
        <v>3</v>
      </c>
      <c r="D230" s="5" t="n">
        <v>3</v>
      </c>
      <c r="E230" s="5" t="s">
        <v>3002</v>
      </c>
      <c r="F230" s="1" t="s">
        <v>2649</v>
      </c>
      <c r="G230" s="5" t="s">
        <v>3003</v>
      </c>
    </row>
    <row r="231" customFormat="false" ht="15" hidden="false" customHeight="false" outlineLevel="0" collapsed="false">
      <c r="A231" s="1" t="s">
        <v>2288</v>
      </c>
      <c r="B231" s="1" t="n">
        <v>143</v>
      </c>
      <c r="C231" s="1" t="n">
        <v>3</v>
      </c>
      <c r="D231" s="1" t="n">
        <v>1</v>
      </c>
      <c r="E231" s="1" t="s">
        <v>2996</v>
      </c>
      <c r="F231" s="1" t="s">
        <v>2654</v>
      </c>
      <c r="G231" s="1" t="s">
        <v>3004</v>
      </c>
    </row>
    <row r="232" customFormat="false" ht="15" hidden="false" customHeight="false" outlineLevel="0" collapsed="false">
      <c r="A232" s="5" t="s">
        <v>2288</v>
      </c>
      <c r="B232" s="5" t="n">
        <v>143</v>
      </c>
      <c r="C232" s="5" t="n">
        <v>3</v>
      </c>
      <c r="D232" s="5" t="n">
        <v>1</v>
      </c>
      <c r="E232" s="5" t="s">
        <v>2993</v>
      </c>
      <c r="F232" s="1" t="s">
        <v>2654</v>
      </c>
      <c r="G232" s="5" t="s">
        <v>3005</v>
      </c>
    </row>
    <row r="233" customFormat="false" ht="15" hidden="false" customHeight="false" outlineLevel="0" collapsed="false">
      <c r="A233" s="5" t="s">
        <v>2291</v>
      </c>
      <c r="B233" s="5" t="n">
        <v>192</v>
      </c>
      <c r="C233" s="5" t="n">
        <v>1</v>
      </c>
      <c r="D233" s="5" t="n">
        <v>1</v>
      </c>
      <c r="E233" s="5" t="s">
        <v>1105</v>
      </c>
      <c r="F233" s="1" t="s">
        <v>2654</v>
      </c>
      <c r="G233" s="5" t="s">
        <v>3006</v>
      </c>
    </row>
    <row r="234" customFormat="false" ht="15" hidden="false" customHeight="false" outlineLevel="0" collapsed="false">
      <c r="A234" s="1" t="s">
        <v>2291</v>
      </c>
      <c r="B234" s="1" t="n">
        <v>192</v>
      </c>
      <c r="C234" s="1" t="n">
        <v>1</v>
      </c>
      <c r="D234" s="1" t="n">
        <v>2</v>
      </c>
      <c r="E234" s="1" t="s">
        <v>1107</v>
      </c>
      <c r="F234" s="1" t="s">
        <v>2654</v>
      </c>
      <c r="G234" s="1" t="s">
        <v>3007</v>
      </c>
    </row>
    <row r="235" customFormat="false" ht="15" hidden="false" customHeight="false" outlineLevel="0" collapsed="false">
      <c r="A235" s="5" t="s">
        <v>2291</v>
      </c>
      <c r="B235" s="5" t="n">
        <v>192</v>
      </c>
      <c r="C235" s="5" t="n">
        <v>1</v>
      </c>
      <c r="D235" s="5" t="n">
        <v>3</v>
      </c>
      <c r="E235" s="5" t="s">
        <v>1910</v>
      </c>
      <c r="F235" s="1" t="s">
        <v>2645</v>
      </c>
      <c r="G235" s="5" t="s">
        <v>3008</v>
      </c>
    </row>
    <row r="236" customFormat="false" ht="15" hidden="false" customHeight="false" outlineLevel="0" collapsed="false">
      <c r="A236" s="1" t="s">
        <v>2291</v>
      </c>
      <c r="B236" s="1" t="n">
        <v>192</v>
      </c>
      <c r="C236" s="1" t="n">
        <v>1</v>
      </c>
      <c r="D236" s="1" t="n">
        <v>4</v>
      </c>
      <c r="E236" s="1" t="s">
        <v>3009</v>
      </c>
      <c r="F236" s="1" t="s">
        <v>2649</v>
      </c>
      <c r="G236" s="1" t="s">
        <v>3010</v>
      </c>
    </row>
    <row r="237" customFormat="false" ht="15" hidden="false" customHeight="false" outlineLevel="0" collapsed="false">
      <c r="A237" s="5" t="s">
        <v>2291</v>
      </c>
      <c r="B237" s="5" t="n">
        <v>192</v>
      </c>
      <c r="C237" s="5" t="n">
        <v>1</v>
      </c>
      <c r="D237" s="5" t="n">
        <v>5</v>
      </c>
      <c r="E237" s="5" t="s">
        <v>3011</v>
      </c>
      <c r="F237" s="1" t="s">
        <v>2654</v>
      </c>
      <c r="G237" s="5" t="s">
        <v>3012</v>
      </c>
    </row>
    <row r="238" customFormat="false" ht="15" hidden="false" customHeight="false" outlineLevel="0" collapsed="false">
      <c r="A238" s="1" t="s">
        <v>2294</v>
      </c>
      <c r="B238" s="1" t="n">
        <v>192</v>
      </c>
      <c r="C238" s="1" t="n">
        <v>2</v>
      </c>
      <c r="D238" s="1" t="n">
        <v>1</v>
      </c>
      <c r="E238" s="1" t="s">
        <v>1105</v>
      </c>
      <c r="F238" s="1" t="s">
        <v>2649</v>
      </c>
      <c r="G238" s="1" t="s">
        <v>3013</v>
      </c>
    </row>
    <row r="239" customFormat="false" ht="15" hidden="false" customHeight="false" outlineLevel="0" collapsed="false">
      <c r="A239" s="5" t="s">
        <v>2294</v>
      </c>
      <c r="B239" s="5" t="n">
        <v>192</v>
      </c>
      <c r="C239" s="5" t="n">
        <v>2</v>
      </c>
      <c r="D239" s="5" t="n">
        <v>2</v>
      </c>
      <c r="E239" s="5" t="s">
        <v>1105</v>
      </c>
      <c r="F239" s="1" t="s">
        <v>2654</v>
      </c>
      <c r="G239" s="5" t="s">
        <v>3014</v>
      </c>
    </row>
    <row r="240" customFormat="false" ht="15" hidden="false" customHeight="false" outlineLevel="0" collapsed="false">
      <c r="A240" s="1" t="s">
        <v>2299</v>
      </c>
      <c r="B240" s="1" t="n">
        <v>192</v>
      </c>
      <c r="C240" s="1" t="n">
        <v>3</v>
      </c>
      <c r="D240" s="1" t="n">
        <v>1</v>
      </c>
      <c r="E240" s="1" t="s">
        <v>1105</v>
      </c>
      <c r="F240" s="1" t="s">
        <v>2649</v>
      </c>
      <c r="G240" s="1" t="s">
        <v>3015</v>
      </c>
    </row>
    <row r="241" customFormat="false" ht="15" hidden="false" customHeight="false" outlineLevel="0" collapsed="false">
      <c r="A241" s="5" t="s">
        <v>2299</v>
      </c>
      <c r="B241" s="5" t="n">
        <v>192</v>
      </c>
      <c r="C241" s="5" t="n">
        <v>3</v>
      </c>
      <c r="D241" s="5" t="n">
        <v>2</v>
      </c>
      <c r="E241" s="5" t="s">
        <v>1107</v>
      </c>
      <c r="F241" s="1" t="s">
        <v>2649</v>
      </c>
      <c r="G241" s="5" t="s">
        <v>3016</v>
      </c>
    </row>
    <row r="1048576" customFormat="false" ht="15" hidden="false" customHeight="true" outlineLevel="0" collapsed="false"/>
  </sheetData>
  <autoFilter ref="A1:G1"/>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2" activeCellId="1" sqref="G14:I22 I32"/>
    </sheetView>
  </sheetViews>
  <sheetFormatPr defaultColWidth="8.4296875" defaultRowHeight="15" zeroHeight="false" outlineLevelRow="0" outlineLevelCol="0"/>
  <cols>
    <col collapsed="false" customWidth="true" hidden="false" outlineLevel="0" max="1" min="1" style="0" width="5"/>
    <col collapsed="false" customWidth="true" hidden="false" outlineLevel="0" max="2" min="2" style="0" width="6.27"/>
    <col collapsed="false" customWidth="true" hidden="false" outlineLevel="0" max="3" min="3" style="0" width="10.54"/>
    <col collapsed="false" customWidth="true" hidden="false" outlineLevel="0" max="5" min="4" style="0" width="7"/>
    <col collapsed="false" customWidth="true" hidden="false" outlineLevel="0" max="7" min="6" style="0" width="20.82"/>
    <col collapsed="false" customWidth="true" hidden="false" outlineLevel="0" max="8" min="8" style="0" width="30.81"/>
    <col collapsed="false" customWidth="true" hidden="false" outlineLevel="0" max="9" min="9" style="0" width="10.54"/>
    <col collapsed="false" customWidth="true" hidden="false" outlineLevel="0" max="10" min="10" style="0" width="19"/>
    <col collapsed="false" customWidth="true" hidden="false" outlineLevel="0" max="11" min="11" style="0" width="22.82"/>
  </cols>
  <sheetData>
    <row r="1" customFormat="false" ht="15" hidden="false" customHeight="false" outlineLevel="0" collapsed="false">
      <c r="A1" s="38" t="s">
        <v>21</v>
      </c>
      <c r="B1" s="38" t="s">
        <v>2084</v>
      </c>
      <c r="C1" s="38" t="s">
        <v>1118</v>
      </c>
      <c r="D1" s="38" t="s">
        <v>1163</v>
      </c>
      <c r="E1" s="38" t="s">
        <v>1169</v>
      </c>
      <c r="F1" s="38" t="s">
        <v>2085</v>
      </c>
      <c r="G1" s="38" t="s">
        <v>1993</v>
      </c>
      <c r="H1" s="38" t="s">
        <v>1165</v>
      </c>
      <c r="I1" s="38" t="s">
        <v>1166</v>
      </c>
      <c r="J1" s="38" t="s">
        <v>2302</v>
      </c>
      <c r="K1" s="38" t="s">
        <v>1168</v>
      </c>
    </row>
    <row r="2" customFormat="false" ht="15" hidden="false" customHeight="false" outlineLevel="0" collapsed="false">
      <c r="A2" s="1" t="n">
        <v>3</v>
      </c>
      <c r="B2" s="1" t="n">
        <v>1</v>
      </c>
      <c r="C2" s="1" t="n">
        <f aca="false">COUNTIFS(c6raw!B:B, Table6[[#This Row],[ID]], c6raw!E:E, Table6[[#This Row],[function]],  c6raw!F:F, Table6[[#This Row],[bug type]])</f>
        <v>2</v>
      </c>
      <c r="D2" s="1" t="n">
        <v>1</v>
      </c>
      <c r="E2" s="1" t="str">
        <f aca="false">VLOOKUP(Table6[[#This Row],[ID]], riskBugs!A:I, 9, 0)</f>
        <v> https://code4rena.com/reports/2021-04-marginswap#h-02-missing-fromtoken--totoken-check</v>
      </c>
      <c r="F2" s="1" t="s">
        <v>2644</v>
      </c>
      <c r="G2" s="5" t="s">
        <v>33</v>
      </c>
      <c r="H2" s="1" t="s">
        <v>2645</v>
      </c>
      <c r="I2" s="1" t="s">
        <v>3017</v>
      </c>
      <c r="J2" s="1"/>
      <c r="K2" s="1" t="s">
        <v>2646</v>
      </c>
    </row>
    <row r="3" customFormat="false" ht="15" hidden="false" customHeight="false" outlineLevel="0" collapsed="false">
      <c r="A3" s="5" t="n">
        <v>3</v>
      </c>
      <c r="B3" s="5" t="n">
        <v>3</v>
      </c>
      <c r="C3" s="5" t="n">
        <f aca="false">COUNTIFS(c6raw!B:B, Table6[[#This Row],[ID]], c6raw!E:E, Table6[[#This Row],[function]],  c6raw!F:F, Table6[[#This Row],[bug type]])</f>
        <v>1</v>
      </c>
      <c r="D3" s="5" t="n">
        <v>1</v>
      </c>
      <c r="E3" s="5" t="str">
        <f aca="false">VLOOKUP(Table6[[#This Row],[ID]], riskBugs!A:I, 9, 0)</f>
        <v> https://code4rena.com/reports/2021-04-marginswap#h-02-missing-fromtoken--totoken-check</v>
      </c>
      <c r="F3" s="5" t="s">
        <v>2648</v>
      </c>
      <c r="G3" s="5" t="s">
        <v>33</v>
      </c>
      <c r="H3" s="1" t="s">
        <v>2649</v>
      </c>
      <c r="I3" s="1" t="s">
        <v>5</v>
      </c>
      <c r="J3" s="3" t="s">
        <v>3018</v>
      </c>
      <c r="K3" s="5" t="s">
        <v>2650</v>
      </c>
    </row>
    <row r="4" customFormat="false" ht="15" hidden="false" customHeight="false" outlineLevel="0" collapsed="false">
      <c r="A4" s="1" t="n">
        <v>3</v>
      </c>
      <c r="B4" s="1" t="n">
        <v>3</v>
      </c>
      <c r="C4" s="1" t="n">
        <f aca="false">COUNTIFS(c6raw!B:B, Table6[[#This Row],[ID]], c6raw!E:E, Table6[[#This Row],[function]],  c6raw!F:F, Table6[[#This Row],[bug type]])</f>
        <v>1</v>
      </c>
      <c r="D4" s="1" t="n">
        <v>2</v>
      </c>
      <c r="E4" s="1" t="str">
        <f aca="false">VLOOKUP(Table6[[#This Row],[ID]], riskBugs!A:I, 9, 0)</f>
        <v> https://code4rena.com/reports/2021-04-marginswap#h-02-missing-fromtoken--totoken-check</v>
      </c>
      <c r="F4" s="1" t="s">
        <v>2651</v>
      </c>
      <c r="G4" s="5" t="s">
        <v>33</v>
      </c>
      <c r="H4" s="1" t="s">
        <v>2649</v>
      </c>
      <c r="I4" s="1" t="s">
        <v>2060</v>
      </c>
      <c r="J4" s="3" t="s">
        <v>3019</v>
      </c>
      <c r="K4" s="1" t="s">
        <v>2652</v>
      </c>
    </row>
    <row r="5" customFormat="false" ht="15" hidden="false" customHeight="false" outlineLevel="0" collapsed="false">
      <c r="A5" s="5" t="n">
        <v>5</v>
      </c>
      <c r="B5" s="5" t="n">
        <v>1</v>
      </c>
      <c r="C5" s="5" t="n">
        <f aca="false">COUNTIFS(c6raw!B:B, Table6[[#This Row],[ID]], c6raw!E:E, Table6[[#This Row],[function]],  c6raw!F:F, Table6[[#This Row],[bug type]])</f>
        <v>2</v>
      </c>
      <c r="D5" s="5" t="n">
        <v>1</v>
      </c>
      <c r="E5" s="5" t="str">
        <f aca="false">VLOOKUP(Table6[[#This Row],[ID]], riskBugs!A:I, 9, 0)</f>
        <v> https://code4rena.com/reports/2021-04-vader#h-03-missing-dao-functionality-to-call-changedao-function-in-vadersol</v>
      </c>
      <c r="F5" s="5" t="s">
        <v>2653</v>
      </c>
      <c r="G5" s="5" t="s">
        <v>62</v>
      </c>
      <c r="H5" s="1" t="s">
        <v>2654</v>
      </c>
      <c r="I5" s="1" t="s">
        <v>3020</v>
      </c>
      <c r="J5" s="1"/>
      <c r="K5" s="5" t="s">
        <v>2655</v>
      </c>
    </row>
    <row r="6" customFormat="false" ht="15" hidden="false" customHeight="false" outlineLevel="0" collapsed="false">
      <c r="A6" s="1" t="n">
        <v>5</v>
      </c>
      <c r="B6" s="1" t="n">
        <v>1</v>
      </c>
      <c r="C6" s="1" t="n">
        <f aca="false">COUNTIFS(c6raw!B:B, Table6[[#This Row],[ID]], c6raw!E:E, Table6[[#This Row],[function]],  c6raw!F:F, Table6[[#This Row],[bug type]])</f>
        <v>1</v>
      </c>
      <c r="D6" s="1" t="n">
        <v>2</v>
      </c>
      <c r="E6" s="1" t="str">
        <f aca="false">VLOOKUP(Table6[[#This Row],[ID]], riskBugs!A:I, 9, 0)</f>
        <v> https://code4rena.com/reports/2021-04-vader#h-03-missing-dao-functionality-to-call-changedao-function-in-vadersol</v>
      </c>
      <c r="F6" s="1" t="s">
        <v>2656</v>
      </c>
      <c r="G6" s="5" t="s">
        <v>62</v>
      </c>
      <c r="H6" s="1" t="s">
        <v>2649</v>
      </c>
      <c r="I6" s="1" t="s">
        <v>3021</v>
      </c>
      <c r="J6" s="3" t="s">
        <v>3022</v>
      </c>
      <c r="K6" s="1" t="s">
        <v>2657</v>
      </c>
    </row>
    <row r="7" customFormat="false" ht="15" hidden="false" customHeight="false" outlineLevel="0" collapsed="false">
      <c r="A7" s="5" t="n">
        <v>5</v>
      </c>
      <c r="B7" s="5" t="n">
        <v>1</v>
      </c>
      <c r="C7" s="5" t="n">
        <f aca="false">COUNTIFS(c6raw!B:B, Table6[[#This Row],[ID]], c6raw!E:E, Table6[[#This Row],[function]],  c6raw!F:F, Table6[[#This Row],[bug type]])</f>
        <v>1</v>
      </c>
      <c r="D7" s="5" t="n">
        <v>3</v>
      </c>
      <c r="E7" s="5" t="str">
        <f aca="false">VLOOKUP(Table6[[#This Row],[ID]], riskBugs!A:I, 9, 0)</f>
        <v> https://code4rena.com/reports/2021-04-vader#h-03-missing-dao-functionality-to-call-changedao-function-in-vadersol</v>
      </c>
      <c r="F7" s="5" t="s">
        <v>2658</v>
      </c>
      <c r="G7" s="5" t="s">
        <v>62</v>
      </c>
      <c r="H7" s="1" t="s">
        <v>2645</v>
      </c>
      <c r="I7" s="1" t="s">
        <v>2008</v>
      </c>
      <c r="J7" s="1"/>
      <c r="K7" s="5" t="s">
        <v>2659</v>
      </c>
    </row>
    <row r="8" customFormat="false" ht="15" hidden="false" customHeight="false" outlineLevel="0" collapsed="false">
      <c r="A8" s="1" t="n">
        <v>5</v>
      </c>
      <c r="B8" s="1" t="n">
        <v>1</v>
      </c>
      <c r="C8" s="1" t="n">
        <f aca="false">COUNTIFS(c6raw!B:B, Table6[[#This Row],[ID]], c6raw!E:E, Table6[[#This Row],[function]],  c6raw!F:F, Table6[[#This Row],[bug type]])</f>
        <v>1</v>
      </c>
      <c r="D8" s="1" t="n">
        <v>4</v>
      </c>
      <c r="E8" s="1" t="str">
        <f aca="false">VLOOKUP(Table6[[#This Row],[ID]], riskBugs!A:I, 9, 0)</f>
        <v> https://code4rena.com/reports/2021-04-vader#h-03-missing-dao-functionality-to-call-changedao-function-in-vadersol</v>
      </c>
      <c r="F8" s="1" t="s">
        <v>1259</v>
      </c>
      <c r="G8" s="5" t="s">
        <v>62</v>
      </c>
      <c r="H8" s="1" t="s">
        <v>2649</v>
      </c>
      <c r="I8" s="1" t="s">
        <v>2033</v>
      </c>
      <c r="J8" s="1"/>
      <c r="K8" s="1" t="s">
        <v>2660</v>
      </c>
    </row>
    <row r="9" customFormat="false" ht="15" hidden="false" customHeight="false" outlineLevel="0" collapsed="false">
      <c r="A9" s="5" t="n">
        <v>5</v>
      </c>
      <c r="B9" s="5" t="n">
        <v>1</v>
      </c>
      <c r="C9" s="5" t="n">
        <f aca="false">COUNTIFS(c6raw!B:B, Table6[[#This Row],[ID]], c6raw!E:E, Table6[[#This Row],[function]],  c6raw!F:F, Table6[[#This Row],[bug type]])</f>
        <v>2</v>
      </c>
      <c r="D9" s="5" t="n">
        <v>1</v>
      </c>
      <c r="E9" s="5" t="str">
        <f aca="false">VLOOKUP(Table6[[#This Row],[ID]], riskBugs!A:I, 9, 0)</f>
        <v> https://code4rena.com/reports/2021-04-vader#h-03-missing-dao-functionality-to-call-changedao-function-in-vadersol</v>
      </c>
      <c r="F9" s="5" t="s">
        <v>1259</v>
      </c>
      <c r="G9" s="1" t="s">
        <v>104</v>
      </c>
      <c r="H9" s="1" t="s">
        <v>2645</v>
      </c>
      <c r="I9" s="1" t="s">
        <v>3020</v>
      </c>
      <c r="J9" s="1"/>
      <c r="K9" s="5" t="s">
        <v>2661</v>
      </c>
    </row>
    <row r="10" customFormat="false" ht="15" hidden="false" customHeight="false" outlineLevel="0" collapsed="false">
      <c r="A10" s="1" t="n">
        <v>5</v>
      </c>
      <c r="B10" s="1" t="n">
        <v>1</v>
      </c>
      <c r="C10" s="1" t="n">
        <f aca="false">COUNTIFS(c6raw!B:B, Table6[[#This Row],[ID]], c6raw!E:E, Table6[[#This Row],[function]],  c6raw!F:F, Table6[[#This Row],[bug type]])</f>
        <v>1</v>
      </c>
      <c r="D10" s="1" t="n">
        <v>2</v>
      </c>
      <c r="E10" s="1" t="str">
        <f aca="false">VLOOKUP(Table6[[#This Row],[ID]], riskBugs!A:I, 9, 0)</f>
        <v> https://code4rena.com/reports/2021-04-vader#h-03-missing-dao-functionality-to-call-changedao-function-in-vadersol</v>
      </c>
      <c r="F10" s="1" t="s">
        <v>1453</v>
      </c>
      <c r="G10" s="1" t="s">
        <v>104</v>
      </c>
      <c r="H10" s="1" t="s">
        <v>2649</v>
      </c>
      <c r="I10" s="1" t="s">
        <v>2005</v>
      </c>
      <c r="J10" s="1"/>
      <c r="K10" s="1" t="s">
        <v>2662</v>
      </c>
    </row>
    <row r="11" customFormat="false" ht="15" hidden="false" customHeight="false" outlineLevel="0" collapsed="false">
      <c r="A11" s="5" t="n">
        <v>5</v>
      </c>
      <c r="B11" s="5" t="n">
        <v>1</v>
      </c>
      <c r="C11" s="5" t="n">
        <f aca="false">COUNTIFS(c6raw!B:B, Table6[[#This Row],[ID]], c6raw!E:E, Table6[[#This Row],[function]],  c6raw!F:F, Table6[[#This Row],[bug type]])</f>
        <v>1</v>
      </c>
      <c r="D11" s="5" t="n">
        <v>3</v>
      </c>
      <c r="E11" s="5" t="str">
        <f aca="false">VLOOKUP(Table6[[#This Row],[ID]], riskBugs!A:I, 9, 0)</f>
        <v> https://code4rena.com/reports/2021-04-vader#h-03-missing-dao-functionality-to-call-changedao-function-in-vadersol</v>
      </c>
      <c r="F11" s="5" t="s">
        <v>2663</v>
      </c>
      <c r="G11" s="1" t="s">
        <v>104</v>
      </c>
      <c r="H11" s="1" t="s">
        <v>2654</v>
      </c>
      <c r="I11" s="1" t="s">
        <v>3023</v>
      </c>
      <c r="J11" s="3" t="s">
        <v>3024</v>
      </c>
      <c r="K11" s="5" t="s">
        <v>2664</v>
      </c>
    </row>
    <row r="12" customFormat="false" ht="15" hidden="false" customHeight="false" outlineLevel="0" collapsed="false">
      <c r="A12" s="5" t="n">
        <v>5</v>
      </c>
      <c r="B12" s="5" t="n">
        <v>1</v>
      </c>
      <c r="C12" s="5" t="n">
        <f aca="false">COUNTIFS(c6raw!B:B, Table6[[#This Row],[ID]], c6raw!E:E, Table6[[#This Row],[function]],  c6raw!F:F, Table6[[#This Row],[bug type]])</f>
        <v>2</v>
      </c>
      <c r="D12" s="5" t="n">
        <v>5</v>
      </c>
      <c r="E12" s="5" t="str">
        <f aca="false">VLOOKUP(Table6[[#This Row],[ID]], riskBugs!A:I, 9, 0)</f>
        <v> https://code4rena.com/reports/2021-04-vader#h-03-missing-dao-functionality-to-call-changedao-function-in-vadersol</v>
      </c>
      <c r="F12" s="5" t="s">
        <v>2667</v>
      </c>
      <c r="G12" s="1" t="s">
        <v>104</v>
      </c>
      <c r="H12" s="1" t="s">
        <v>2654</v>
      </c>
      <c r="I12" s="1" t="s">
        <v>2005</v>
      </c>
      <c r="J12" s="1"/>
      <c r="K12" s="5" t="s">
        <v>2668</v>
      </c>
    </row>
    <row r="13" customFormat="false" ht="15" hidden="false" customHeight="false" outlineLevel="0" collapsed="false">
      <c r="A13" s="1" t="n">
        <v>5</v>
      </c>
      <c r="B13" s="1" t="n">
        <v>2</v>
      </c>
      <c r="C13" s="1" t="n">
        <f aca="false">COUNTIFS(c6raw!B:B, Table6[[#This Row],[ID]], c6raw!E:E, Table6[[#This Row],[function]],  c6raw!F:F, Table6[[#This Row],[bug type]])</f>
        <v>2</v>
      </c>
      <c r="D13" s="1" t="n">
        <v>2</v>
      </c>
      <c r="E13" s="1" t="str">
        <f aca="false">VLOOKUP(Table6[[#This Row],[ID]], riskBugs!A:I, 9, 0)</f>
        <v> https://code4rena.com/reports/2021-04-vader#h-03-missing-dao-functionality-to-call-changedao-function-in-vadersol</v>
      </c>
      <c r="F13" s="1" t="s">
        <v>2656</v>
      </c>
      <c r="G13" s="1" t="s">
        <v>62</v>
      </c>
      <c r="H13" s="1" t="s">
        <v>2645</v>
      </c>
      <c r="I13" s="1" t="s">
        <v>2033</v>
      </c>
      <c r="J13" s="1"/>
      <c r="K13" s="1" t="s">
        <v>2670</v>
      </c>
    </row>
    <row r="14" customFormat="false" ht="15" hidden="false" customHeight="false" outlineLevel="0" collapsed="false">
      <c r="A14" s="5" t="n">
        <v>5</v>
      </c>
      <c r="B14" s="5" t="n">
        <v>3</v>
      </c>
      <c r="C14" s="5" t="n">
        <f aca="false">COUNTIFS(c6raw!B:B, Table6[[#This Row],[ID]], c6raw!E:E, Table6[[#This Row],[function]],  c6raw!F:F, Table6[[#This Row],[bug type]])</f>
        <v>1</v>
      </c>
      <c r="D14" s="5" t="n">
        <v>2</v>
      </c>
      <c r="E14" s="5" t="str">
        <f aca="false">VLOOKUP(Table6[[#This Row],[ID]], riskBugs!A:I, 9, 0)</f>
        <v> https://code4rena.com/reports/2021-04-vader#h-03-missing-dao-functionality-to-call-changedao-function-in-vadersol</v>
      </c>
      <c r="F14" s="5" t="s">
        <v>2673</v>
      </c>
      <c r="G14" s="1" t="s">
        <v>104</v>
      </c>
      <c r="H14" s="1" t="s">
        <v>2649</v>
      </c>
      <c r="I14" s="1" t="s">
        <v>2001</v>
      </c>
      <c r="J14" s="1"/>
      <c r="K14" s="5" t="s">
        <v>2674</v>
      </c>
    </row>
    <row r="15" customFormat="false" ht="15" hidden="false" customHeight="false" outlineLevel="0" collapsed="false">
      <c r="A15" s="1" t="n">
        <v>8</v>
      </c>
      <c r="B15" s="1" t="n">
        <v>2</v>
      </c>
      <c r="C15" s="1" t="n">
        <f aca="false">COUNTIFS(c6raw!B:B, Table6[[#This Row],[ID]], c6raw!E:E, Table6[[#This Row],[function]],  c6raw!F:F, Table6[[#This Row],[bug type]])</f>
        <v>1</v>
      </c>
      <c r="D15" s="1" t="n">
        <v>1</v>
      </c>
      <c r="E15" s="1" t="str">
        <f aca="false">VLOOKUP(Table6[[#This Row],[ID]], riskBugs!A:I, 9, 0)</f>
        <v> https://code4rena.com/reports/2021-05-nftx#h-03-getrandomtokenidfromfund-yields-wrong-probabilities-for-erc1155</v>
      </c>
      <c r="F15" s="1" t="s">
        <v>2677</v>
      </c>
      <c r="G15" s="1" t="s">
        <v>120</v>
      </c>
      <c r="H15" s="1" t="s">
        <v>2649</v>
      </c>
      <c r="I15" s="1" t="s">
        <v>2005</v>
      </c>
      <c r="J15" s="1"/>
      <c r="K15" s="1" t="s">
        <v>2678</v>
      </c>
    </row>
    <row r="16" customFormat="false" ht="15" hidden="false" customHeight="false" outlineLevel="0" collapsed="false">
      <c r="A16" s="5" t="n">
        <v>8</v>
      </c>
      <c r="B16" s="5" t="n">
        <v>2</v>
      </c>
      <c r="C16" s="5" t="n">
        <f aca="false">COUNTIFS(c6raw!B:B, Table6[[#This Row],[ID]], c6raw!E:E, Table6[[#This Row],[function]],  c6raw!F:F, Table6[[#This Row],[bug type]])</f>
        <v>1</v>
      </c>
      <c r="D16" s="5" t="n">
        <v>2</v>
      </c>
      <c r="E16" s="5" t="str">
        <f aca="false">VLOOKUP(Table6[[#This Row],[ID]], riskBugs!A:I, 9, 0)</f>
        <v> https://code4rena.com/reports/2021-05-nftx#h-03-getrandomtokenidfromfund-yields-wrong-probabilities-for-erc1155</v>
      </c>
      <c r="F16" s="5" t="s">
        <v>2679</v>
      </c>
      <c r="G16" s="1" t="s">
        <v>120</v>
      </c>
      <c r="H16" s="1" t="s">
        <v>2654</v>
      </c>
      <c r="I16" s="1" t="s">
        <v>2005</v>
      </c>
      <c r="J16" s="1" t="s">
        <v>3025</v>
      </c>
      <c r="K16" s="5" t="s">
        <v>2680</v>
      </c>
    </row>
    <row r="17" customFormat="false" ht="15" hidden="false" customHeight="false" outlineLevel="0" collapsed="false">
      <c r="A17" s="1" t="n">
        <v>8</v>
      </c>
      <c r="B17" s="1" t="n">
        <v>2</v>
      </c>
      <c r="C17" s="1" t="n">
        <f aca="false">COUNTIFS(c6raw!B:B, Table6[[#This Row],[ID]], c6raw!E:E, Table6[[#This Row],[function]],  c6raw!F:F, Table6[[#This Row],[bug type]])</f>
        <v>1</v>
      </c>
      <c r="D17" s="1" t="n">
        <v>3</v>
      </c>
      <c r="E17" s="1" t="str">
        <f aca="false">VLOOKUP(Table6[[#This Row],[ID]], riskBugs!A:I, 9, 0)</f>
        <v> https://code4rena.com/reports/2021-05-nftx#h-03-getrandomtokenidfromfund-yields-wrong-probabilities-for-erc1155</v>
      </c>
      <c r="F17" s="1" t="s">
        <v>1105</v>
      </c>
      <c r="G17" s="1" t="s">
        <v>120</v>
      </c>
      <c r="H17" s="1" t="s">
        <v>2654</v>
      </c>
      <c r="I17" s="1" t="s">
        <v>2005</v>
      </c>
      <c r="J17" s="1" t="s">
        <v>3025</v>
      </c>
      <c r="K17" s="1" t="s">
        <v>2681</v>
      </c>
    </row>
    <row r="18" customFormat="false" ht="15" hidden="false" customHeight="false" outlineLevel="0" collapsed="false">
      <c r="A18" s="1" t="n">
        <v>10</v>
      </c>
      <c r="B18" s="1" t="n">
        <v>1</v>
      </c>
      <c r="C18" s="1" t="n">
        <f aca="false">COUNTIFS(c6raw!B:B, Table6[[#This Row],[ID]], c6raw!E:E, Table6[[#This Row],[function]],  c6raw!F:F, Table6[[#This Row],[bug type]])</f>
        <v>1</v>
      </c>
      <c r="D18" s="1" t="n">
        <v>1</v>
      </c>
      <c r="E18" s="1" t="str">
        <f aca="false">VLOOKUP(Table6[[#This Row],[ID]], riskBugs!A:I, 9, 0)</f>
        <v> https://code4rena.com/reports/2021-05-visorfinance#h-01-a-previously-timelocked-nft-token-becomes-permanently-stuck-in-vault-if-its-ever-moved-back-into-the-vault</v>
      </c>
      <c r="F18" s="1" t="s">
        <v>1303</v>
      </c>
      <c r="G18" s="5" t="s">
        <v>124</v>
      </c>
      <c r="H18" s="1" t="s">
        <v>2649</v>
      </c>
      <c r="I18" s="1" t="s">
        <v>2005</v>
      </c>
      <c r="J18" s="1" t="s">
        <v>3026</v>
      </c>
      <c r="K18" s="1" t="s">
        <v>2683</v>
      </c>
    </row>
    <row r="19" customFormat="false" ht="15" hidden="false" customHeight="false" outlineLevel="0" collapsed="false">
      <c r="A19" s="5" t="n">
        <v>10</v>
      </c>
      <c r="B19" s="5" t="n">
        <v>1</v>
      </c>
      <c r="C19" s="5" t="n">
        <f aca="false">COUNTIFS(c6raw!B:B, Table6[[#This Row],[ID]], c6raw!E:E, Table6[[#This Row],[function]],  c6raw!F:F, Table6[[#This Row],[bug type]])</f>
        <v>1</v>
      </c>
      <c r="D19" s="5" t="n">
        <v>2</v>
      </c>
      <c r="E19" s="5" t="str">
        <f aca="false">VLOOKUP(Table6[[#This Row],[ID]], riskBugs!A:I, 9, 0)</f>
        <v> https://code4rena.com/reports/2021-05-visorfinance#h-01-a-previously-timelocked-nft-token-becomes-permanently-stuck-in-vault-if-its-ever-moved-back-into-the-vault</v>
      </c>
      <c r="F19" s="5" t="s">
        <v>2684</v>
      </c>
      <c r="G19" s="5" t="s">
        <v>124</v>
      </c>
      <c r="H19" s="1" t="s">
        <v>2649</v>
      </c>
      <c r="I19" s="1" t="s">
        <v>2005</v>
      </c>
      <c r="J19" s="1" t="s">
        <v>3026</v>
      </c>
      <c r="K19" s="5" t="s">
        <v>2685</v>
      </c>
    </row>
    <row r="20" customFormat="false" ht="15" hidden="false" customHeight="false" outlineLevel="0" collapsed="false">
      <c r="A20" s="1" t="n">
        <v>10</v>
      </c>
      <c r="B20" s="1" t="n">
        <v>1</v>
      </c>
      <c r="C20" s="1" t="n">
        <f aca="false">COUNTIFS(c6raw!B:B, Table6[[#This Row],[ID]], c6raw!E:E, Table6[[#This Row],[function]],  c6raw!F:F, Table6[[#This Row],[bug type]])</f>
        <v>1</v>
      </c>
      <c r="D20" s="1" t="n">
        <v>3</v>
      </c>
      <c r="E20" s="1" t="str">
        <f aca="false">VLOOKUP(Table6[[#This Row],[ID]], riskBugs!A:I, 9, 0)</f>
        <v> https://code4rena.com/reports/2021-05-visorfinance#h-01-a-previously-timelocked-nft-token-becomes-permanently-stuck-in-vault-if-its-ever-moved-back-into-the-vault</v>
      </c>
      <c r="F20" s="1" t="s">
        <v>2686</v>
      </c>
      <c r="G20" s="5" t="s">
        <v>124</v>
      </c>
      <c r="H20" s="1" t="s">
        <v>2645</v>
      </c>
      <c r="I20" s="1" t="s">
        <v>3027</v>
      </c>
      <c r="J20" s="1"/>
      <c r="K20" s="1" t="s">
        <v>2687</v>
      </c>
    </row>
    <row r="21" customFormat="false" ht="15" hidden="false" customHeight="false" outlineLevel="0" collapsed="false">
      <c r="A21" s="5" t="n">
        <v>10</v>
      </c>
      <c r="B21" s="5" t="n">
        <v>1</v>
      </c>
      <c r="C21" s="5" t="n">
        <f aca="false">COUNTIFS(c6raw!B:B, Table6[[#This Row],[ID]], c6raw!E:E, Table6[[#This Row],[function]],  c6raw!F:F, Table6[[#This Row],[bug type]])</f>
        <v>1</v>
      </c>
      <c r="D21" s="5" t="n">
        <v>4</v>
      </c>
      <c r="E21" s="5" t="str">
        <f aca="false">VLOOKUP(Table6[[#This Row],[ID]], riskBugs!A:I, 9, 0)</f>
        <v> https://code4rena.com/reports/2021-05-visorfinance#h-01-a-previously-timelocked-nft-token-becomes-permanently-stuck-in-vault-if-its-ever-moved-back-into-the-vault</v>
      </c>
      <c r="F21" s="5" t="s">
        <v>2688</v>
      </c>
      <c r="G21" s="5" t="s">
        <v>124</v>
      </c>
      <c r="H21" s="1" t="s">
        <v>2654</v>
      </c>
      <c r="I21" s="1" t="s">
        <v>2005</v>
      </c>
      <c r="J21" s="1"/>
      <c r="K21" s="5" t="s">
        <v>2689</v>
      </c>
    </row>
    <row r="22" customFormat="false" ht="15" hidden="false" customHeight="false" outlineLevel="0" collapsed="false">
      <c r="A22" s="1" t="n">
        <v>12</v>
      </c>
      <c r="B22" s="1" t="n">
        <v>1</v>
      </c>
      <c r="C22" s="1" t="n">
        <f aca="false">COUNTIFS(c6raw!B:B, Table6[[#This Row],[ID]], c6raw!E:E, Table6[[#This Row],[function]],  c6raw!F:F, Table6[[#This Row],[bug type]])</f>
        <v>1</v>
      </c>
      <c r="D22" s="1" t="n">
        <v>1</v>
      </c>
      <c r="E22" s="1" t="str">
        <f aca="false">VLOOKUP(Table6[[#This Row],[ID]], riskBugs!A:I, 9, 0)</f>
        <v> https://code4rena.com/reports/2021-05-yield#h-01-duplication-of-balance</v>
      </c>
      <c r="F22" s="1" t="s">
        <v>2691</v>
      </c>
      <c r="G22" s="15" t="s">
        <v>3028</v>
      </c>
      <c r="H22" s="1" t="s">
        <v>2645</v>
      </c>
      <c r="I22" s="1" t="s">
        <v>2311</v>
      </c>
      <c r="J22" s="3" t="s">
        <v>3029</v>
      </c>
      <c r="K22" s="1" t="s">
        <v>2692</v>
      </c>
    </row>
    <row r="23" customFormat="false" ht="15" hidden="false" customHeight="false" outlineLevel="0" collapsed="false">
      <c r="A23" s="5" t="n">
        <v>12</v>
      </c>
      <c r="B23" s="5" t="n">
        <v>1</v>
      </c>
      <c r="C23" s="5" t="n">
        <f aca="false">COUNTIFS(c6raw!B:B, Table6[[#This Row],[ID]], c6raw!E:E, Table6[[#This Row],[function]],  c6raw!F:F, Table6[[#This Row],[bug type]])</f>
        <v>1</v>
      </c>
      <c r="D23" s="5" t="n">
        <v>1</v>
      </c>
      <c r="E23" s="5" t="str">
        <f aca="false">VLOOKUP(Table6[[#This Row],[ID]], riskBugs!A:I, 9, 0)</f>
        <v> https://code4rena.com/reports/2021-05-yield#h-01-duplication-of-balance</v>
      </c>
      <c r="F23" s="5" t="s">
        <v>2693</v>
      </c>
      <c r="G23" s="15" t="s">
        <v>3028</v>
      </c>
      <c r="H23" s="1" t="s">
        <v>2649</v>
      </c>
      <c r="I23" s="1" t="s">
        <v>2033</v>
      </c>
      <c r="J23" s="1"/>
      <c r="K23" s="5" t="s">
        <v>2694</v>
      </c>
    </row>
    <row r="24" customFormat="false" ht="15" hidden="false" customHeight="false" outlineLevel="0" collapsed="false">
      <c r="A24" s="1" t="n">
        <v>12</v>
      </c>
      <c r="B24" s="1" t="n">
        <v>1</v>
      </c>
      <c r="C24" s="1" t="n">
        <f aca="false">COUNTIFS(c6raw!B:B, Table6[[#This Row],[ID]], c6raw!E:E, Table6[[#This Row],[function]],  c6raw!F:F, Table6[[#This Row],[bug type]])</f>
        <v>1</v>
      </c>
      <c r="D24" s="1" t="n">
        <v>1</v>
      </c>
      <c r="E24" s="1" t="str">
        <f aca="false">VLOOKUP(Table6[[#This Row],[ID]], riskBugs!A:I, 9, 0)</f>
        <v> https://code4rena.com/reports/2021-05-yield#h-01-duplication-of-balance</v>
      </c>
      <c r="F24" s="1" t="s">
        <v>2695</v>
      </c>
      <c r="G24" s="15" t="s">
        <v>3028</v>
      </c>
      <c r="H24" s="1" t="s">
        <v>2654</v>
      </c>
      <c r="I24" s="1" t="s">
        <v>2005</v>
      </c>
      <c r="J24" s="1"/>
      <c r="K24" s="1" t="s">
        <v>2696</v>
      </c>
    </row>
    <row r="25" customFormat="false" ht="15" hidden="false" customHeight="false" outlineLevel="0" collapsed="false">
      <c r="A25" s="5" t="n">
        <v>12</v>
      </c>
      <c r="B25" s="5" t="n">
        <v>2</v>
      </c>
      <c r="C25" s="5" t="n">
        <f aca="false">COUNTIFS(c6raw!B:B, Table6[[#This Row],[ID]], c6raw!E:E, Table6[[#This Row],[function]],  c6raw!F:F, Table6[[#This Row],[bug type]])</f>
        <v>1</v>
      </c>
      <c r="D25" s="5" t="n">
        <v>1</v>
      </c>
      <c r="E25" s="5" t="str">
        <f aca="false">VLOOKUP(Table6[[#This Row],[ID]], riskBugs!A:I, 9, 0)</f>
        <v> https://code4rena.com/reports/2021-05-yield#h-01-duplication-of-balance</v>
      </c>
      <c r="F25" s="5" t="s">
        <v>2698</v>
      </c>
      <c r="G25" s="15" t="s">
        <v>3028</v>
      </c>
      <c r="H25" s="1" t="s">
        <v>2645</v>
      </c>
      <c r="I25" s="1" t="s">
        <v>3020</v>
      </c>
      <c r="J25" s="1"/>
      <c r="K25" s="5" t="s">
        <v>2699</v>
      </c>
    </row>
    <row r="26" customFormat="false" ht="15" hidden="false" customHeight="false" outlineLevel="0" collapsed="false">
      <c r="A26" s="1" t="n">
        <v>12</v>
      </c>
      <c r="B26" s="1" t="n">
        <v>2</v>
      </c>
      <c r="C26" s="1" t="n">
        <f aca="false">COUNTIFS(c6raw!B:B, Table6[[#This Row],[ID]], c6raw!E:E, Table6[[#This Row],[function]],  c6raw!F:F, Table6[[#This Row],[bug type]])</f>
        <v>1</v>
      </c>
      <c r="D26" s="1" t="n">
        <v>3</v>
      </c>
      <c r="E26" s="1" t="str">
        <f aca="false">VLOOKUP(Table6[[#This Row],[ID]], riskBugs!A:I, 9, 0)</f>
        <v> https://code4rena.com/reports/2021-05-yield#h-01-duplication-of-balance</v>
      </c>
      <c r="F26" s="1" t="s">
        <v>2700</v>
      </c>
      <c r="G26" s="15" t="s">
        <v>3028</v>
      </c>
      <c r="H26" s="1" t="s">
        <v>2654</v>
      </c>
      <c r="I26" s="1" t="s">
        <v>3030</v>
      </c>
      <c r="J26" s="1"/>
      <c r="K26" s="1" t="s">
        <v>2701</v>
      </c>
    </row>
    <row r="27" customFormat="false" ht="15" hidden="false" customHeight="false" outlineLevel="0" collapsed="false">
      <c r="A27" s="5" t="n">
        <v>12</v>
      </c>
      <c r="B27" s="5" t="n">
        <v>2</v>
      </c>
      <c r="C27" s="5" t="n">
        <f aca="false">COUNTIFS(c6raw!B:B, Table6[[#This Row],[ID]], c6raw!E:E, Table6[[#This Row],[function]],  c6raw!F:F, Table6[[#This Row],[bug type]])</f>
        <v>2</v>
      </c>
      <c r="D27" s="5" t="n">
        <v>1</v>
      </c>
      <c r="E27" s="5" t="str">
        <f aca="false">VLOOKUP(Table6[[#This Row],[ID]], riskBugs!A:I, 9, 0)</f>
        <v> https://code4rena.com/reports/2021-05-yield#h-01-duplication-of-balance</v>
      </c>
      <c r="F27" s="5" t="s">
        <v>2702</v>
      </c>
      <c r="G27" s="1" t="s">
        <v>3031</v>
      </c>
      <c r="H27" s="5" t="s">
        <v>1557</v>
      </c>
      <c r="I27" s="5" t="s">
        <v>2005</v>
      </c>
      <c r="J27" s="5"/>
      <c r="K27" s="5" t="s">
        <v>2703</v>
      </c>
    </row>
    <row r="28" customFormat="false" ht="15" hidden="false" customHeight="false" outlineLevel="0" collapsed="false">
      <c r="A28" s="5" t="n">
        <v>12</v>
      </c>
      <c r="B28" s="5" t="n">
        <v>2</v>
      </c>
      <c r="C28" s="5" t="n">
        <f aca="false">COUNTIFS(c6raw!B:B, Table6[[#This Row],[ID]], c6raw!E:E, Table6[[#This Row],[function]],  c6raw!F:F, Table6[[#This Row],[bug type]])</f>
        <v>1</v>
      </c>
      <c r="D28" s="5" t="n">
        <v>3</v>
      </c>
      <c r="E28" s="5" t="str">
        <f aca="false">VLOOKUP(Table6[[#This Row],[ID]], riskBugs!A:I, 9, 0)</f>
        <v> https://code4rena.com/reports/2021-05-yield#h-01-duplication-of-balance</v>
      </c>
      <c r="F28" s="5" t="s">
        <v>2704</v>
      </c>
      <c r="G28" s="1" t="s">
        <v>3031</v>
      </c>
      <c r="H28" s="5" t="s">
        <v>2705</v>
      </c>
      <c r="I28" s="5" t="s">
        <v>2033</v>
      </c>
      <c r="J28" s="5"/>
      <c r="K28" s="5" t="s">
        <v>2706</v>
      </c>
    </row>
    <row r="29" customFormat="false" ht="15" hidden="false" customHeight="false" outlineLevel="0" collapsed="false">
      <c r="A29" s="5" t="n">
        <v>12</v>
      </c>
      <c r="B29" s="5" t="n">
        <v>3</v>
      </c>
      <c r="C29" s="5" t="n">
        <f aca="false">COUNTIFS(c6raw!B:B, Table6[[#This Row],[ID]], c6raw!E:E, Table6[[#This Row],[function]],  c6raw!F:F, Table6[[#This Row],[bug type]])</f>
        <v>1</v>
      </c>
      <c r="D29" s="5" t="n">
        <v>1</v>
      </c>
      <c r="E29" s="5" t="str">
        <f aca="false">VLOOKUP(Table6[[#This Row],[ID]], riskBugs!A:I, 9, 0)</f>
        <v> https://code4rena.com/reports/2021-05-yield#h-01-duplication-of-balance</v>
      </c>
      <c r="F29" s="5" t="s">
        <v>2708</v>
      </c>
      <c r="G29" s="15" t="s">
        <v>3028</v>
      </c>
      <c r="H29" s="1" t="s">
        <v>2645</v>
      </c>
      <c r="I29" s="1" t="s">
        <v>2008</v>
      </c>
      <c r="J29" s="1"/>
      <c r="K29" s="5" t="s">
        <v>2709</v>
      </c>
    </row>
    <row r="30" customFormat="false" ht="15" hidden="false" customHeight="false" outlineLevel="0" collapsed="false">
      <c r="A30" s="1" t="n">
        <v>12</v>
      </c>
      <c r="B30" s="1" t="n">
        <v>3</v>
      </c>
      <c r="C30" s="1" t="n">
        <f aca="false">COUNTIFS(c6raw!B:B, Table6[[#This Row],[ID]], c6raw!E:E, Table6[[#This Row],[function]],  c6raw!F:F, Table6[[#This Row],[bug type]])</f>
        <v>1</v>
      </c>
      <c r="D30" s="1" t="n">
        <v>1</v>
      </c>
      <c r="E30" s="1" t="str">
        <f aca="false">VLOOKUP(Table6[[#This Row],[ID]], riskBugs!A:I, 9, 0)</f>
        <v> https://code4rena.com/reports/2021-05-yield#h-01-duplication-of-balance</v>
      </c>
      <c r="F30" s="1" t="s">
        <v>2691</v>
      </c>
      <c r="G30" s="15" t="s">
        <v>3028</v>
      </c>
      <c r="H30" s="1" t="s">
        <v>2649</v>
      </c>
      <c r="I30" s="1" t="s">
        <v>3017</v>
      </c>
      <c r="J30" s="1"/>
      <c r="K30" s="1" t="s">
        <v>2710</v>
      </c>
    </row>
    <row r="31" customFormat="false" ht="15" hidden="false" customHeight="false" outlineLevel="0" collapsed="false">
      <c r="A31" s="5" t="n">
        <v>16</v>
      </c>
      <c r="B31" s="5" t="n">
        <v>2</v>
      </c>
      <c r="C31" s="5" t="n">
        <f aca="false">COUNTIFS(c6raw!B:B, Table6[[#This Row],[ID]], c6raw!E:E, Table6[[#This Row],[function]],  c6raw!F:F, Table6[[#This Row],[bug type]])</f>
        <v>1</v>
      </c>
      <c r="D31" s="5" t="n">
        <v>1</v>
      </c>
      <c r="E31" s="5" t="str">
        <f aca="false">VLOOKUP(Table6[[#This Row],[ID]], riskBugs!A:I, 9, 0)</f>
        <v> https://code4rena.com/reports/2021-06-tracer#h-01-wrong-trading-pricing-calculations</v>
      </c>
      <c r="F31" s="5" t="s">
        <v>2163</v>
      </c>
      <c r="G31" s="5" t="s">
        <v>167</v>
      </c>
      <c r="H31" s="1" t="s">
        <v>2649</v>
      </c>
      <c r="I31" s="1" t="s">
        <v>3032</v>
      </c>
      <c r="J31" s="1"/>
      <c r="K31" s="5" t="s">
        <v>2712</v>
      </c>
    </row>
    <row r="32" customFormat="false" ht="15" hidden="false" customHeight="false" outlineLevel="0" collapsed="false">
      <c r="A32" s="1" t="n">
        <v>16</v>
      </c>
      <c r="B32" s="1" t="n">
        <v>2</v>
      </c>
      <c r="C32" s="1" t="n">
        <f aca="false">COUNTIFS(c6raw!B:B, Table6[[#This Row],[ID]], c6raw!E:E, Table6[[#This Row],[function]],  c6raw!F:F, Table6[[#This Row],[bug type]])</f>
        <v>1</v>
      </c>
      <c r="D32" s="1" t="n">
        <v>2</v>
      </c>
      <c r="E32" s="1" t="str">
        <f aca="false">VLOOKUP(Table6[[#This Row],[ID]], riskBugs!A:I, 9, 0)</f>
        <v> https://code4rena.com/reports/2021-06-tracer#h-01-wrong-trading-pricing-calculations</v>
      </c>
      <c r="F32" s="1" t="s">
        <v>2713</v>
      </c>
      <c r="G32" s="5" t="s">
        <v>167</v>
      </c>
      <c r="H32" s="1" t="s">
        <v>2654</v>
      </c>
      <c r="I32" s="1" t="s">
        <v>3033</v>
      </c>
      <c r="J32" s="3" t="s">
        <v>3034</v>
      </c>
      <c r="K32" s="1" t="s">
        <v>2714</v>
      </c>
    </row>
    <row r="33" customFormat="false" ht="15" hidden="false" customHeight="false" outlineLevel="0" collapsed="false">
      <c r="A33" s="1" t="n">
        <v>19</v>
      </c>
      <c r="B33" s="1" t="n">
        <v>1</v>
      </c>
      <c r="C33" s="1" t="n">
        <f aca="false">COUNTIFS(c6raw!B:B, Table6[[#This Row],[ID]], c6raw!E:E, Table6[[#This Row],[function]],  c6raw!F:F, Table6[[#This Row],[bug type]])</f>
        <v>1</v>
      </c>
      <c r="D33" s="1" t="n">
        <v>1</v>
      </c>
      <c r="E33" s="1" t="str">
        <f aca="false">VLOOKUP(Table6[[#This Row],[ID]], riskBugs!A:I, 9, 0)</f>
        <v> https://code4rena.com/reports/2021-07-connext-findings#h-01-anyone-can-arbitrarily-add-router-liquidity</v>
      </c>
      <c r="F33" s="1" t="s">
        <v>1957</v>
      </c>
      <c r="G33" s="1" t="s">
        <v>188</v>
      </c>
      <c r="H33" s="1" t="s">
        <v>2645</v>
      </c>
      <c r="I33" s="1" t="s">
        <v>3035</v>
      </c>
      <c r="J33" s="1"/>
      <c r="K33" s="1" t="s">
        <v>2715</v>
      </c>
    </row>
    <row r="34" customFormat="false" ht="15" hidden="false" customHeight="false" outlineLevel="0" collapsed="false">
      <c r="A34" s="5" t="n">
        <v>19</v>
      </c>
      <c r="B34" s="5" t="n">
        <v>1</v>
      </c>
      <c r="C34" s="5" t="n">
        <f aca="false">COUNTIFS(c6raw!B:B, Table6[[#This Row],[ID]], c6raw!E:E, Table6[[#This Row],[function]],  c6raw!F:F, Table6[[#This Row],[bug type]])</f>
        <v>1</v>
      </c>
      <c r="D34" s="5" t="n">
        <v>2</v>
      </c>
      <c r="E34" s="5" t="str">
        <f aca="false">VLOOKUP(Table6[[#This Row],[ID]], riskBugs!A:I, 9, 0)</f>
        <v> https://code4rena.com/reports/2021-07-connext-findings#h-01-anyone-can-arbitrarily-add-router-liquidity</v>
      </c>
      <c r="F34" s="5" t="s">
        <v>1957</v>
      </c>
      <c r="G34" s="5" t="s">
        <v>188</v>
      </c>
      <c r="H34" s="1" t="s">
        <v>2649</v>
      </c>
      <c r="I34" s="1" t="s">
        <v>2005</v>
      </c>
      <c r="J34" s="1"/>
      <c r="K34" s="5" t="s">
        <v>2716</v>
      </c>
    </row>
    <row r="35" customFormat="false" ht="15" hidden="false" customHeight="false" outlineLevel="0" collapsed="false">
      <c r="A35" s="1" t="n">
        <v>19</v>
      </c>
      <c r="B35" s="1" t="n">
        <v>1</v>
      </c>
      <c r="C35" s="1" t="n">
        <f aca="false">COUNTIFS(c6raw!B:B, Table6[[#This Row],[ID]], c6raw!E:E, Table6[[#This Row],[function]],  c6raw!F:F, Table6[[#This Row],[bug type]])</f>
        <v>1</v>
      </c>
      <c r="D35" s="1" t="n">
        <v>3</v>
      </c>
      <c r="E35" s="1" t="str">
        <f aca="false">VLOOKUP(Table6[[#This Row],[ID]], riskBugs!A:I, 9, 0)</f>
        <v> https://code4rena.com/reports/2021-07-connext-findings#h-01-anyone-can-arbitrarily-add-router-liquidity</v>
      </c>
      <c r="F35" s="1" t="s">
        <v>2385</v>
      </c>
      <c r="G35" s="1" t="s">
        <v>188</v>
      </c>
      <c r="H35" s="1" t="s">
        <v>2654</v>
      </c>
      <c r="I35" s="1" t="s">
        <v>2005</v>
      </c>
      <c r="J35" s="1"/>
      <c r="K35" s="1" t="s">
        <v>2717</v>
      </c>
    </row>
    <row r="36" customFormat="false" ht="15" hidden="false" customHeight="false" outlineLevel="0" collapsed="false">
      <c r="A36" s="1" t="n">
        <v>23</v>
      </c>
      <c r="B36" s="1" t="n">
        <v>1</v>
      </c>
      <c r="C36" s="1" t="n">
        <f aca="false">COUNTIFS(c6raw!B:B, Table6[[#This Row],[ID]], c6raw!E:E, Table6[[#This Row],[function]],  c6raw!F:F, Table6[[#This Row],[bug type]])</f>
        <v>1</v>
      </c>
      <c r="D36" s="1" t="n">
        <v>1</v>
      </c>
      <c r="E36" s="1" t="str">
        <f aca="false">VLOOKUP(Table6[[#This Row],[ID]], riskBugs!A:I, 9, 0)</f>
        <v> https://code4rena.com/reports/2021-08-notional#h-01-self-transfer-can-lead-to-unlimited-mint</v>
      </c>
      <c r="F36" s="1" t="s">
        <v>2718</v>
      </c>
      <c r="G36" s="1" t="s">
        <v>231</v>
      </c>
      <c r="H36" s="1" t="s">
        <v>2649</v>
      </c>
      <c r="I36" s="1" t="s">
        <v>2005</v>
      </c>
      <c r="J36" s="1"/>
      <c r="K36" s="1" t="s">
        <v>2719</v>
      </c>
    </row>
    <row r="37" customFormat="false" ht="15" hidden="false" customHeight="false" outlineLevel="0" collapsed="false">
      <c r="A37" s="5" t="n">
        <v>23</v>
      </c>
      <c r="B37" s="5" t="n">
        <v>1</v>
      </c>
      <c r="C37" s="5" t="n">
        <f aca="false">COUNTIFS(c6raw!B:B, Table6[[#This Row],[ID]], c6raw!E:E, Table6[[#This Row],[function]],  c6raw!F:F, Table6[[#This Row],[bug type]])</f>
        <v>1</v>
      </c>
      <c r="D37" s="5" t="n">
        <v>2</v>
      </c>
      <c r="E37" s="5" t="str">
        <f aca="false">VLOOKUP(Table6[[#This Row],[ID]], riskBugs!A:I, 9, 0)</f>
        <v> https://code4rena.com/reports/2021-08-notional#h-01-self-transfer-can-lead-to-unlimited-mint</v>
      </c>
      <c r="F37" s="5" t="s">
        <v>2297</v>
      </c>
      <c r="G37" s="1" t="s">
        <v>231</v>
      </c>
      <c r="H37" s="1" t="s">
        <v>2654</v>
      </c>
      <c r="I37" s="1" t="s">
        <v>2005</v>
      </c>
      <c r="J37" s="1"/>
      <c r="K37" s="5" t="s">
        <v>2720</v>
      </c>
    </row>
    <row r="38" customFormat="false" ht="15" hidden="false" customHeight="false" outlineLevel="0" collapsed="false">
      <c r="A38" s="5" t="n">
        <v>23</v>
      </c>
      <c r="B38" s="5" t="n">
        <v>3</v>
      </c>
      <c r="C38" s="5" t="n">
        <f aca="false">COUNTIFS(c6raw!B:B, Table6[[#This Row],[ID]], c6raw!E:E, Table6[[#This Row],[function]],  c6raw!F:F, Table6[[#This Row],[bug type]])</f>
        <v>1</v>
      </c>
      <c r="D38" s="5" t="n">
        <v>1</v>
      </c>
      <c r="E38" s="5" t="str">
        <f aca="false">VLOOKUP(Table6[[#This Row],[ID]], riskBugs!A:I, 9, 0)</f>
        <v> https://code4rena.com/reports/2021-08-notional#h-01-self-transfer-can-lead-to-unlimited-mint</v>
      </c>
      <c r="F38" s="5" t="s">
        <v>2721</v>
      </c>
      <c r="G38" s="1" t="s">
        <v>231</v>
      </c>
      <c r="H38" s="1" t="s">
        <v>2649</v>
      </c>
      <c r="I38" s="1" t="s">
        <v>3036</v>
      </c>
      <c r="J38" s="1"/>
      <c r="K38" s="5" t="s">
        <v>2722</v>
      </c>
    </row>
    <row r="39" customFormat="false" ht="15" hidden="false" customHeight="false" outlineLevel="0" collapsed="false">
      <c r="A39" s="1" t="n">
        <v>23</v>
      </c>
      <c r="B39" s="1" t="n">
        <v>3</v>
      </c>
      <c r="C39" s="1" t="n">
        <f aca="false">COUNTIFS(c6raw!B:B, Table6[[#This Row],[ID]], c6raw!E:E, Table6[[#This Row],[function]],  c6raw!F:F, Table6[[#This Row],[bug type]])</f>
        <v>1</v>
      </c>
      <c r="D39" s="1" t="n">
        <v>2</v>
      </c>
      <c r="E39" s="1" t="str">
        <f aca="false">VLOOKUP(Table6[[#This Row],[ID]], riskBugs!A:I, 9, 0)</f>
        <v> https://code4rena.com/reports/2021-08-notional#h-01-self-transfer-can-lead-to-unlimited-mint</v>
      </c>
      <c r="F39" s="1" t="s">
        <v>2723</v>
      </c>
      <c r="G39" s="1" t="s">
        <v>231</v>
      </c>
      <c r="H39" s="1" t="s">
        <v>2645</v>
      </c>
      <c r="I39" s="1" t="s">
        <v>3017</v>
      </c>
      <c r="J39" s="1"/>
      <c r="K39" s="1" t="s">
        <v>2724</v>
      </c>
    </row>
    <row r="40" customFormat="false" ht="15" hidden="false" customHeight="false" outlineLevel="0" collapsed="false">
      <c r="A40" s="5" t="n">
        <v>23</v>
      </c>
      <c r="B40" s="5" t="n">
        <v>3</v>
      </c>
      <c r="C40" s="5" t="n">
        <f aca="false">COUNTIFS(c6raw!B:B, Table6[[#This Row],[ID]], c6raw!E:E, Table6[[#This Row],[function]],  c6raw!F:F, Table6[[#This Row],[bug type]])</f>
        <v>1</v>
      </c>
      <c r="D40" s="5" t="n">
        <v>3</v>
      </c>
      <c r="E40" s="5" t="str">
        <f aca="false">VLOOKUP(Table6[[#This Row],[ID]], riskBugs!A:I, 9, 0)</f>
        <v> https://code4rena.com/reports/2021-08-notional#h-01-self-transfer-can-lead-to-unlimited-mint</v>
      </c>
      <c r="F40" s="5" t="s">
        <v>2725</v>
      </c>
      <c r="G40" s="1" t="s">
        <v>231</v>
      </c>
      <c r="H40" s="1" t="s">
        <v>2649</v>
      </c>
      <c r="I40" s="1" t="s">
        <v>3036</v>
      </c>
      <c r="J40" s="1"/>
      <c r="K40" s="5" t="s">
        <v>2726</v>
      </c>
    </row>
    <row r="41" customFormat="false" ht="15" hidden="false" customHeight="false" outlineLevel="0" collapsed="false">
      <c r="A41" s="5" t="n">
        <v>24</v>
      </c>
      <c r="B41" s="5" t="n">
        <v>2</v>
      </c>
      <c r="C41" s="5" t="n">
        <f aca="false">COUNTIFS(c6raw!B:B, Table6[[#This Row],[ID]], c6raw!E:E, Table6[[#This Row],[function]],  c6raw!F:F, Table6[[#This Row],[bug type]])</f>
        <v>1</v>
      </c>
      <c r="D41" s="5" t="n">
        <v>1</v>
      </c>
      <c r="E41" s="5" t="str">
        <f aca="false">VLOOKUP(Table6[[#This Row],[ID]], riskBugs!A:I, 9, 0)</f>
        <v> https://code4rena.com/reports/2021-07-pooltogether#h-03-setyieldsource-leads-to-temporary-wrong-results</v>
      </c>
      <c r="F41" s="5" t="s">
        <v>1300</v>
      </c>
      <c r="G41" s="5" t="s">
        <v>243</v>
      </c>
      <c r="H41" s="1" t="s">
        <v>2645</v>
      </c>
      <c r="I41" s="1" t="s">
        <v>2005</v>
      </c>
      <c r="J41" s="1"/>
      <c r="K41" s="5" t="s">
        <v>2727</v>
      </c>
    </row>
    <row r="42" customFormat="false" ht="15" hidden="false" customHeight="false" outlineLevel="0" collapsed="false">
      <c r="A42" s="5" t="n">
        <v>24</v>
      </c>
      <c r="B42" s="5" t="n">
        <v>3</v>
      </c>
      <c r="C42" s="5" t="n">
        <f aca="false">COUNTIFS(c6raw!B:B, Table6[[#This Row],[ID]], c6raw!E:E, Table6[[#This Row],[function]],  c6raw!F:F, Table6[[#This Row],[bug type]])</f>
        <v>1</v>
      </c>
      <c r="D42" s="5" t="n">
        <v>1</v>
      </c>
      <c r="E42" s="5" t="str">
        <f aca="false">VLOOKUP(Table6[[#This Row],[ID]], riskBugs!A:I, 9, 0)</f>
        <v> https://code4rena.com/reports/2021-07-pooltogether#h-03-setyieldsource-leads-to-temporary-wrong-results</v>
      </c>
      <c r="F42" s="5" t="s">
        <v>2728</v>
      </c>
      <c r="G42" s="5" t="s">
        <v>243</v>
      </c>
      <c r="H42" s="1" t="s">
        <v>2654</v>
      </c>
      <c r="I42" s="1" t="s">
        <v>2005</v>
      </c>
      <c r="J42" s="1"/>
      <c r="K42" s="5" t="s">
        <v>2729</v>
      </c>
    </row>
    <row r="43" customFormat="false" ht="15" hidden="false" customHeight="false" outlineLevel="0" collapsed="false">
      <c r="A43" s="1" t="n">
        <v>24</v>
      </c>
      <c r="B43" s="1" t="n">
        <v>3</v>
      </c>
      <c r="C43" s="1" t="n">
        <f aca="false">COUNTIFS(c6raw!B:B, Table6[[#This Row],[ID]], c6raw!E:E, Table6[[#This Row],[function]],  c6raw!F:F, Table6[[#This Row],[bug type]])</f>
        <v>1</v>
      </c>
      <c r="D43" s="1" t="n">
        <v>1</v>
      </c>
      <c r="E43" s="1" t="str">
        <f aca="false">VLOOKUP(Table6[[#This Row],[ID]], riskBugs!A:I, 9, 0)</f>
        <v> https://code4rena.com/reports/2021-07-pooltogether#h-03-setyieldsource-leads-to-temporary-wrong-results</v>
      </c>
      <c r="F43" s="1" t="s">
        <v>2730</v>
      </c>
      <c r="G43" s="1" t="s">
        <v>243</v>
      </c>
      <c r="H43" s="1" t="s">
        <v>2645</v>
      </c>
      <c r="I43" s="1" t="s">
        <v>2005</v>
      </c>
      <c r="J43" s="1"/>
      <c r="K43" s="1" t="s">
        <v>2731</v>
      </c>
    </row>
    <row r="44" customFormat="false" ht="15" hidden="false" customHeight="false" outlineLevel="0" collapsed="false">
      <c r="A44" s="5" t="n">
        <v>28</v>
      </c>
      <c r="B44" s="5" t="n">
        <v>1</v>
      </c>
      <c r="C44" s="5" t="n">
        <f aca="false">COUNTIFS(c6raw!B:B, Table6[[#This Row],[ID]], c6raw!E:E, Table6[[#This Row],[function]],  c6raw!F:F, Table6[[#This Row],[bug type]])</f>
        <v>1</v>
      </c>
      <c r="D44" s="5" t="n">
        <v>1</v>
      </c>
      <c r="E44" s="5" t="str">
        <f aca="false">VLOOKUP(Table6[[#This Row],[ID]], riskBugs!A:I, 9, 0)</f>
        <v> https://code4rena.com/reports/2021-09-sushimiso#h-01-postauctionlaunchersolfinalize-adding-liquidity-to-an-existing-pool-may-allows-the-attacker-to-steal-most-of-the-tokens</v>
      </c>
      <c r="F44" s="5" t="s">
        <v>2733</v>
      </c>
      <c r="G44" s="1" t="s">
        <v>268</v>
      </c>
      <c r="H44" s="5" t="s">
        <v>1557</v>
      </c>
      <c r="I44" s="5" t="s">
        <v>3037</v>
      </c>
      <c r="J44" s="5"/>
      <c r="K44" s="5" t="s">
        <v>2734</v>
      </c>
    </row>
    <row r="45" customFormat="false" ht="15" hidden="false" customHeight="false" outlineLevel="0" collapsed="false">
      <c r="A45" s="1" t="n">
        <v>28</v>
      </c>
      <c r="B45" s="1" t="n">
        <v>1</v>
      </c>
      <c r="C45" s="1" t="n">
        <f aca="false">COUNTIFS(c6raw!B:B, Table6[[#This Row],[ID]], c6raw!E:E, Table6[[#This Row],[function]],  c6raw!F:F, Table6[[#This Row],[bug type]])</f>
        <v>1</v>
      </c>
      <c r="D45" s="1" t="n">
        <v>2</v>
      </c>
      <c r="E45" s="1" t="str">
        <f aca="false">VLOOKUP(Table6[[#This Row],[ID]], riskBugs!A:I, 9, 0)</f>
        <v> https://code4rena.com/reports/2021-09-sushimiso#h-01-postauctionlaunchersolfinalize-adding-liquidity-to-an-existing-pool-may-allows-the-attacker-to-steal-most-of-the-tokens</v>
      </c>
      <c r="F45" s="1" t="s">
        <v>2735</v>
      </c>
      <c r="G45" s="1" t="s">
        <v>268</v>
      </c>
      <c r="H45" s="5" t="s">
        <v>1557</v>
      </c>
      <c r="I45" s="5" t="s">
        <v>3037</v>
      </c>
      <c r="J45" s="5"/>
      <c r="K45" s="1" t="s">
        <v>2736</v>
      </c>
    </row>
    <row r="46" customFormat="false" ht="15" hidden="false" customHeight="false" outlineLevel="0" collapsed="false">
      <c r="A46" s="5" t="n">
        <v>28</v>
      </c>
      <c r="B46" s="5" t="n">
        <v>1</v>
      </c>
      <c r="C46" s="5" t="n">
        <f aca="false">COUNTIFS(c6raw!B:B, Table6[[#This Row],[ID]], c6raw!E:E, Table6[[#This Row],[function]],  c6raw!F:F, Table6[[#This Row],[bug type]])</f>
        <v>3</v>
      </c>
      <c r="D46" s="5" t="n">
        <v>3</v>
      </c>
      <c r="E46" s="5" t="str">
        <f aca="false">VLOOKUP(Table6[[#This Row],[ID]], riskBugs!A:I, 9, 0)</f>
        <v> https://code4rena.com/reports/2021-09-sushimiso#h-01-postauctionlaunchersolfinalize-adding-liquidity-to-an-existing-pool-may-allows-the-attacker-to-steal-most-of-the-tokens</v>
      </c>
      <c r="F46" s="5" t="s">
        <v>2737</v>
      </c>
      <c r="G46" s="5" t="s">
        <v>262</v>
      </c>
      <c r="H46" s="1" t="s">
        <v>2645</v>
      </c>
      <c r="I46" s="1" t="s">
        <v>3038</v>
      </c>
      <c r="J46" s="1"/>
      <c r="K46" s="5" t="s">
        <v>2738</v>
      </c>
    </row>
    <row r="47" customFormat="false" ht="15" hidden="false" customHeight="false" outlineLevel="0" collapsed="false">
      <c r="A47" s="5" t="n">
        <v>28</v>
      </c>
      <c r="B47" s="5" t="n">
        <v>2</v>
      </c>
      <c r="C47" s="5" t="n">
        <f aca="false">COUNTIFS(c6raw!B:B, Table6[[#This Row],[ID]], c6raw!E:E, Table6[[#This Row],[function]],  c6raw!F:F, Table6[[#This Row],[bug type]])</f>
        <v>1</v>
      </c>
      <c r="D47" s="5" t="n">
        <v>1</v>
      </c>
      <c r="E47" s="5" t="str">
        <f aca="false">VLOOKUP(Table6[[#This Row],[ID]], riskBugs!A:I, 9, 0)</f>
        <v> https://code4rena.com/reports/2021-09-sushimiso#h-01-postauctionlaunchersolfinalize-adding-liquidity-to-an-existing-pool-may-allows-the-attacker-to-steal-most-of-the-tokens</v>
      </c>
      <c r="F47" s="5" t="s">
        <v>2740</v>
      </c>
      <c r="G47" s="1" t="s">
        <v>268</v>
      </c>
      <c r="H47" s="1" t="s">
        <v>2649</v>
      </c>
      <c r="I47" s="1" t="s">
        <v>2033</v>
      </c>
      <c r="J47" s="1"/>
      <c r="K47" s="5" t="s">
        <v>2741</v>
      </c>
    </row>
    <row r="48" customFormat="false" ht="15" hidden="false" customHeight="false" outlineLevel="0" collapsed="false">
      <c r="A48" s="1" t="n">
        <v>28</v>
      </c>
      <c r="B48" s="1" t="n">
        <v>2</v>
      </c>
      <c r="C48" s="1" t="n">
        <f aca="false">COUNTIFS(c6raw!B:B, Table6[[#This Row],[ID]], c6raw!E:E, Table6[[#This Row],[function]],  c6raw!F:F, Table6[[#This Row],[bug type]])</f>
        <v>1</v>
      </c>
      <c r="D48" s="1" t="n">
        <v>1</v>
      </c>
      <c r="E48" s="1" t="str">
        <f aca="false">VLOOKUP(Table6[[#This Row],[ID]], riskBugs!A:I, 9, 0)</f>
        <v> https://code4rena.com/reports/2021-09-sushimiso#h-01-postauctionlaunchersolfinalize-adding-liquidity-to-an-existing-pool-may-allows-the-attacker-to-steal-most-of-the-tokens</v>
      </c>
      <c r="F48" s="1" t="s">
        <v>2742</v>
      </c>
      <c r="G48" s="5" t="s">
        <v>262</v>
      </c>
      <c r="H48" s="1" t="s">
        <v>2654</v>
      </c>
      <c r="I48" s="1" t="s">
        <v>2324</v>
      </c>
      <c r="J48" s="1"/>
      <c r="K48" s="1" t="s">
        <v>2743</v>
      </c>
    </row>
    <row r="49" customFormat="false" ht="15" hidden="false" customHeight="false" outlineLevel="0" collapsed="false">
      <c r="A49" s="5" t="n">
        <v>28</v>
      </c>
      <c r="B49" s="5" t="n">
        <v>2</v>
      </c>
      <c r="C49" s="5" t="n">
        <f aca="false">COUNTIFS(c6raw!B:B, Table6[[#This Row],[ID]], c6raw!E:E, Table6[[#This Row],[function]],  c6raw!F:F, Table6[[#This Row],[bug type]])</f>
        <v>1</v>
      </c>
      <c r="D49" s="5" t="n">
        <v>2</v>
      </c>
      <c r="E49" s="5" t="str">
        <f aca="false">VLOOKUP(Table6[[#This Row],[ID]], riskBugs!A:I, 9, 0)</f>
        <v> https://code4rena.com/reports/2021-09-sushimiso#h-01-postauctionlaunchersolfinalize-adding-liquidity-to-an-existing-pool-may-allows-the-attacker-to-steal-most-of-the-tokens</v>
      </c>
      <c r="F49" s="5" t="s">
        <v>2744</v>
      </c>
      <c r="G49" s="5" t="s">
        <v>262</v>
      </c>
      <c r="H49" s="1" t="s">
        <v>2649</v>
      </c>
      <c r="I49" s="1" t="s">
        <v>2005</v>
      </c>
      <c r="J49" s="1"/>
      <c r="K49" s="5" t="s">
        <v>2745</v>
      </c>
    </row>
    <row r="50" customFormat="false" ht="15" hidden="false" customHeight="false" outlineLevel="0" collapsed="false">
      <c r="A50" s="5" t="n">
        <v>28</v>
      </c>
      <c r="B50" s="5" t="n">
        <v>2</v>
      </c>
      <c r="C50" s="5" t="n">
        <f aca="false">COUNTIFS(c6raw!B:B, Table6[[#This Row],[ID]], c6raw!E:E, Table6[[#This Row],[function]],  c6raw!F:F, Table6[[#This Row],[bug type]])</f>
        <v>1</v>
      </c>
      <c r="D50" s="5" t="n">
        <v>4</v>
      </c>
      <c r="E50" s="5" t="str">
        <f aca="false">VLOOKUP(Table6[[#This Row],[ID]], riskBugs!A:I, 9, 0)</f>
        <v> https://code4rena.com/reports/2021-09-sushimiso#h-01-postauctionlaunchersolfinalize-adding-liquidity-to-an-existing-pool-may-allows-the-attacker-to-steal-most-of-the-tokens</v>
      </c>
      <c r="F50" s="5" t="s">
        <v>2747</v>
      </c>
      <c r="G50" s="5" t="s">
        <v>262</v>
      </c>
      <c r="H50" s="1" t="s">
        <v>2649</v>
      </c>
      <c r="I50" s="1" t="s">
        <v>2033</v>
      </c>
      <c r="J50" s="1"/>
      <c r="K50" s="5" t="s">
        <v>2748</v>
      </c>
    </row>
    <row r="51" customFormat="false" ht="15" hidden="false" customHeight="false" outlineLevel="0" collapsed="false">
      <c r="A51" s="1" t="n">
        <v>28</v>
      </c>
      <c r="B51" s="1" t="n">
        <v>2</v>
      </c>
      <c r="C51" s="1" t="n">
        <f aca="false">COUNTIFS(c6raw!B:B, Table6[[#This Row],[ID]], c6raw!E:E, Table6[[#This Row],[function]],  c6raw!F:F, Table6[[#This Row],[bug type]])</f>
        <v>1</v>
      </c>
      <c r="D51" s="1" t="n">
        <v>5</v>
      </c>
      <c r="E51" s="1" t="str">
        <f aca="false">VLOOKUP(Table6[[#This Row],[ID]], riskBugs!A:I, 9, 0)</f>
        <v> https://code4rena.com/reports/2021-09-sushimiso#h-01-postauctionlaunchersolfinalize-adding-liquidity-to-an-existing-pool-may-allows-the-attacker-to-steal-most-of-the-tokens</v>
      </c>
      <c r="F51" s="1" t="s">
        <v>2749</v>
      </c>
      <c r="G51" s="1" t="s">
        <v>262</v>
      </c>
      <c r="H51" s="1" t="s">
        <v>2645</v>
      </c>
      <c r="I51" s="1" t="s">
        <v>2005</v>
      </c>
      <c r="J51" s="1"/>
      <c r="K51" s="1" t="s">
        <v>2750</v>
      </c>
    </row>
    <row r="52" customFormat="false" ht="15" hidden="false" customHeight="false" outlineLevel="0" collapsed="false">
      <c r="A52" s="5" t="n">
        <v>28</v>
      </c>
      <c r="B52" s="5" t="n">
        <v>3</v>
      </c>
      <c r="C52" s="5" t="n">
        <f aca="false">COUNTIFS(c6raw!B:B, Table6[[#This Row],[ID]], c6raw!E:E, Table6[[#This Row],[function]],  c6raw!F:F, Table6[[#This Row],[bug type]])</f>
        <v>1</v>
      </c>
      <c r="D52" s="5" t="n">
        <v>1</v>
      </c>
      <c r="E52" s="5" t="str">
        <f aca="false">VLOOKUP(Table6[[#This Row],[ID]], riskBugs!A:I, 9, 0)</f>
        <v> https://code4rena.com/reports/2021-09-sushimiso#h-01-postauctionlaunchersolfinalize-adding-liquidity-to-an-existing-pool-may-allows-the-attacker-to-steal-most-of-the-tokens</v>
      </c>
      <c r="F52" s="5" t="s">
        <v>2742</v>
      </c>
      <c r="G52" s="5" t="s">
        <v>262</v>
      </c>
      <c r="H52" s="1" t="s">
        <v>2649</v>
      </c>
      <c r="I52" s="1" t="s">
        <v>3039</v>
      </c>
      <c r="J52" s="1"/>
      <c r="K52" s="5" t="s">
        <v>2752</v>
      </c>
    </row>
    <row r="53" customFormat="false" ht="15" hidden="false" customHeight="false" outlineLevel="0" collapsed="false">
      <c r="A53" s="1" t="n">
        <v>39</v>
      </c>
      <c r="B53" s="1" t="n">
        <v>2</v>
      </c>
      <c r="C53" s="1" t="n">
        <f aca="false">COUNTIFS(c6raw!B:B, Table6[[#This Row],[ID]], c6raw!E:E, Table6[[#This Row],[function]],  c6raw!F:F, Table6[[#This Row],[bug type]])</f>
        <v>1</v>
      </c>
      <c r="D53" s="1" t="n">
        <v>1</v>
      </c>
      <c r="E53" s="1" t="str">
        <f aca="false">VLOOKUP(Table6[[#This Row],[ID]], riskBugs!A:I, 9, 0)</f>
        <v> https://code4rena.com/reports/2021-09-swivel#h-02-swivel-taker-is-charged-fees-twice-in-exitvaultfillingvaultinitiate</v>
      </c>
      <c r="F53" s="1" t="s">
        <v>2754</v>
      </c>
      <c r="G53" s="1" t="s">
        <v>345</v>
      </c>
      <c r="H53" s="1" t="s">
        <v>2649</v>
      </c>
      <c r="I53" s="1" t="s">
        <v>2033</v>
      </c>
      <c r="J53" s="1"/>
      <c r="K53" s="1" t="s">
        <v>2755</v>
      </c>
    </row>
    <row r="54" customFormat="false" ht="15" hidden="false" customHeight="false" outlineLevel="0" collapsed="false">
      <c r="A54" s="5" t="n">
        <v>39</v>
      </c>
      <c r="B54" s="5" t="n">
        <v>2</v>
      </c>
      <c r="C54" s="5" t="n">
        <f aca="false">COUNTIFS(c6raw!B:B, Table6[[#This Row],[ID]], c6raw!E:E, Table6[[#This Row],[function]],  c6raw!F:F, Table6[[#This Row],[bug type]])</f>
        <v>2</v>
      </c>
      <c r="D54" s="5" t="n">
        <v>2</v>
      </c>
      <c r="E54" s="5" t="str">
        <f aca="false">VLOOKUP(Table6[[#This Row],[ID]], riskBugs!A:I, 9, 0)</f>
        <v> https://code4rena.com/reports/2021-09-swivel#h-02-swivel-taker-is-charged-fees-twice-in-exitvaultfillingvaultinitiate</v>
      </c>
      <c r="F54" s="5" t="s">
        <v>2756</v>
      </c>
      <c r="G54" s="1" t="s">
        <v>345</v>
      </c>
      <c r="H54" s="1" t="s">
        <v>2654</v>
      </c>
      <c r="I54" s="1" t="s">
        <v>2005</v>
      </c>
      <c r="J54" s="1"/>
      <c r="K54" s="5" t="s">
        <v>2757</v>
      </c>
    </row>
    <row r="55" customFormat="false" ht="15" hidden="false" customHeight="false" outlineLevel="0" collapsed="false">
      <c r="A55" s="1" t="n">
        <v>39</v>
      </c>
      <c r="B55" s="1" t="n">
        <v>2</v>
      </c>
      <c r="C55" s="1" t="n">
        <f aca="false">COUNTIFS(c6raw!B:B, Table6[[#This Row],[ID]], c6raw!E:E, Table6[[#This Row],[function]],  c6raw!F:F, Table6[[#This Row],[bug type]])</f>
        <v>1</v>
      </c>
      <c r="D55" s="1" t="n">
        <v>3</v>
      </c>
      <c r="E55" s="1" t="str">
        <f aca="false">VLOOKUP(Table6[[#This Row],[ID]], riskBugs!A:I, 9, 0)</f>
        <v> https://code4rena.com/reports/2021-09-swivel#h-02-swivel-taker-is-charged-fees-twice-in-exitvaultfillingvaultinitiate</v>
      </c>
      <c r="F55" s="1" t="s">
        <v>2754</v>
      </c>
      <c r="G55" s="1" t="s">
        <v>345</v>
      </c>
      <c r="H55" s="1" t="s">
        <v>2654</v>
      </c>
      <c r="I55" s="1" t="s">
        <v>2005</v>
      </c>
      <c r="J55" s="1"/>
      <c r="K55" s="1" t="s">
        <v>2758</v>
      </c>
    </row>
    <row r="56" customFormat="false" ht="15" hidden="false" customHeight="false" outlineLevel="0" collapsed="false">
      <c r="A56" s="1" t="n">
        <v>39</v>
      </c>
      <c r="B56" s="1" t="n">
        <v>3</v>
      </c>
      <c r="C56" s="1" t="n">
        <f aca="false">COUNTIFS(c6raw!B:B, Table6[[#This Row],[ID]], c6raw!E:E, Table6[[#This Row],[function]],  c6raw!F:F, Table6[[#This Row],[bug type]])</f>
        <v>1</v>
      </c>
      <c r="D56" s="1" t="n">
        <v>1</v>
      </c>
      <c r="E56" s="1" t="str">
        <f aca="false">VLOOKUP(Table6[[#This Row],[ID]], riskBugs!A:I, 9, 0)</f>
        <v> https://code4rena.com/reports/2021-09-swivel#h-02-swivel-taker-is-charged-fees-twice-in-exitvaultfillingvaultinitiate</v>
      </c>
      <c r="F56" s="1" t="s">
        <v>2760</v>
      </c>
      <c r="G56" s="1" t="s">
        <v>345</v>
      </c>
      <c r="H56" s="1" t="s">
        <v>2645</v>
      </c>
      <c r="I56" s="1" t="s">
        <v>3040</v>
      </c>
      <c r="J56" s="1"/>
      <c r="K56" s="1" t="s">
        <v>2761</v>
      </c>
    </row>
    <row r="57" customFormat="false" ht="15" hidden="false" customHeight="false" outlineLevel="0" collapsed="false">
      <c r="A57" s="5" t="n">
        <v>42</v>
      </c>
      <c r="B57" s="5" t="n">
        <v>1</v>
      </c>
      <c r="C57" s="5" t="n">
        <f aca="false">COUNTIFS(c6raw!B:B, Table6[[#This Row],[ID]], c6raw!E:E, Table6[[#This Row],[function]],  c6raw!F:F, Table6[[#This Row],[bug type]])</f>
        <v>1</v>
      </c>
      <c r="D57" s="5" t="n">
        <v>1</v>
      </c>
      <c r="E57" s="5" t="str">
        <f aca="false">VLOOKUP(Table6[[#This Row],[ID]], riskBugs!A:I, 9, 0)</f>
        <v> https://code4rena.com/reports/2021-10-mochi#h-01-vault-fails-to-track-debt-correctly-that-leads-to-bad-debt</v>
      </c>
      <c r="F57" s="5" t="s">
        <v>2763</v>
      </c>
      <c r="G57" s="1" t="s">
        <v>378</v>
      </c>
      <c r="H57" s="1" t="s">
        <v>2649</v>
      </c>
      <c r="I57" s="1" t="s">
        <v>3041</v>
      </c>
      <c r="J57" s="1"/>
      <c r="K57" s="5" t="s">
        <v>2764</v>
      </c>
    </row>
    <row r="58" customFormat="false" ht="15" hidden="false" customHeight="false" outlineLevel="0" collapsed="false">
      <c r="A58" s="1" t="n">
        <v>42</v>
      </c>
      <c r="B58" s="1" t="n">
        <v>1</v>
      </c>
      <c r="C58" s="1" t="n">
        <f aca="false">COUNTIFS(c6raw!B:B, Table6[[#This Row],[ID]], c6raw!E:E, Table6[[#This Row],[function]],  c6raw!F:F, Table6[[#This Row],[bug type]])</f>
        <v>1</v>
      </c>
      <c r="D58" s="1" t="n">
        <v>2</v>
      </c>
      <c r="E58" s="1" t="str">
        <f aca="false">VLOOKUP(Table6[[#This Row],[ID]], riskBugs!A:I, 9, 0)</f>
        <v> https://code4rena.com/reports/2021-10-mochi#h-01-vault-fails-to-track-debt-correctly-that-leads-to-bad-debt</v>
      </c>
      <c r="F58" s="1" t="s">
        <v>2617</v>
      </c>
      <c r="G58" s="1" t="s">
        <v>378</v>
      </c>
      <c r="H58" s="1" t="s">
        <v>2645</v>
      </c>
      <c r="I58" s="1" t="s">
        <v>3017</v>
      </c>
      <c r="J58" s="1"/>
      <c r="K58" s="1" t="s">
        <v>2765</v>
      </c>
    </row>
    <row r="59" customFormat="false" ht="15" hidden="false" customHeight="false" outlineLevel="0" collapsed="false">
      <c r="A59" s="5" t="n">
        <v>42</v>
      </c>
      <c r="B59" s="5" t="n">
        <v>1</v>
      </c>
      <c r="C59" s="5" t="n">
        <f aca="false">COUNTIFS(c6raw!B:B, Table6[[#This Row],[ID]], c6raw!E:E, Table6[[#This Row],[function]],  c6raw!F:F, Table6[[#This Row],[bug type]])</f>
        <v>2</v>
      </c>
      <c r="D59" s="5" t="n">
        <v>3</v>
      </c>
      <c r="E59" s="5" t="str">
        <f aca="false">VLOOKUP(Table6[[#This Row],[ID]], riskBugs!A:I, 9, 0)</f>
        <v> https://code4rena.com/reports/2021-10-mochi#h-01-vault-fails-to-track-debt-correctly-that-leads-to-bad-debt</v>
      </c>
      <c r="F59" s="5" t="s">
        <v>2766</v>
      </c>
      <c r="G59" s="1" t="s">
        <v>378</v>
      </c>
      <c r="H59" s="1" t="s">
        <v>2645</v>
      </c>
      <c r="I59" s="1" t="s">
        <v>3017</v>
      </c>
      <c r="J59" s="1"/>
      <c r="K59" s="5" t="s">
        <v>2767</v>
      </c>
    </row>
    <row r="60" customFormat="false" ht="15" hidden="false" customHeight="false" outlineLevel="0" collapsed="false">
      <c r="A60" s="1" t="n">
        <v>42</v>
      </c>
      <c r="B60" s="1" t="n">
        <v>3</v>
      </c>
      <c r="C60" s="1" t="n">
        <f aca="false">COUNTIFS(c6raw!B:B, Table6[[#This Row],[ID]], c6raw!E:E, Table6[[#This Row],[function]],  c6raw!F:F, Table6[[#This Row],[bug type]])</f>
        <v>1</v>
      </c>
      <c r="D60" s="1" t="n">
        <v>1</v>
      </c>
      <c r="E60" s="1" t="str">
        <f aca="false">VLOOKUP(Table6[[#This Row],[ID]], riskBugs!A:I, 9, 0)</f>
        <v> https://code4rena.com/reports/2021-10-mochi#h-01-vault-fails-to-track-debt-correctly-that-leads-to-bad-debt</v>
      </c>
      <c r="F60" s="1" t="s">
        <v>2168</v>
      </c>
      <c r="G60" s="1" t="s">
        <v>378</v>
      </c>
      <c r="H60" s="1" t="s">
        <v>2649</v>
      </c>
      <c r="I60" s="1" t="s">
        <v>2033</v>
      </c>
      <c r="J60" s="1"/>
      <c r="K60" s="1" t="s">
        <v>2768</v>
      </c>
    </row>
    <row r="61" customFormat="false" ht="15" hidden="false" customHeight="false" outlineLevel="0" collapsed="false">
      <c r="A61" s="5" t="n">
        <v>42</v>
      </c>
      <c r="B61" s="5" t="n">
        <v>3</v>
      </c>
      <c r="C61" s="5" t="n">
        <f aca="false">COUNTIFS(c6raw!B:B, Table6[[#This Row],[ID]], c6raw!E:E, Table6[[#This Row],[function]],  c6raw!F:F, Table6[[#This Row],[bug type]])</f>
        <v>1</v>
      </c>
      <c r="D61" s="5" t="n">
        <v>2</v>
      </c>
      <c r="E61" s="5" t="str">
        <f aca="false">VLOOKUP(Table6[[#This Row],[ID]], riskBugs!A:I, 9, 0)</f>
        <v> https://code4rena.com/reports/2021-10-mochi#h-01-vault-fails-to-track-debt-correctly-that-leads-to-bad-debt</v>
      </c>
      <c r="F61" s="5" t="s">
        <v>2763</v>
      </c>
      <c r="G61" s="1" t="s">
        <v>378</v>
      </c>
      <c r="H61" s="1" t="s">
        <v>2654</v>
      </c>
      <c r="I61" s="1" t="s">
        <v>3042</v>
      </c>
      <c r="J61" s="1"/>
      <c r="K61" s="5" t="s">
        <v>2769</v>
      </c>
    </row>
    <row r="62" customFormat="false" ht="15" hidden="false" customHeight="false" outlineLevel="0" collapsed="false">
      <c r="A62" s="5" t="n">
        <v>47</v>
      </c>
      <c r="B62" s="5" t="n">
        <v>1</v>
      </c>
      <c r="C62" s="5" t="n">
        <f aca="false">COUNTIFS(c6raw!B:B, Table6[[#This Row],[ID]], c6raw!E:E, Table6[[#This Row],[function]],  c6raw!F:F, Table6[[#This Row],[bug type]])</f>
        <v>4</v>
      </c>
      <c r="D62" s="5" t="n">
        <v>1</v>
      </c>
      <c r="E62" s="5" t="str">
        <f aca="false">VLOOKUP(Table6[[#This Row],[ID]], riskBugs!A:I, 9, 0)</f>
        <v> https://code4rena.com/reports/2021-10-badgerdao#h-01-the-design-of-wibbtc-is-not-fully-compatible-with-the-current-curve-stableswap-pool</v>
      </c>
      <c r="F62" s="5" t="s">
        <v>1561</v>
      </c>
      <c r="G62" s="1" t="s">
        <v>392</v>
      </c>
      <c r="H62" s="1" t="s">
        <v>2649</v>
      </c>
      <c r="I62" s="1" t="s">
        <v>2051</v>
      </c>
      <c r="J62" s="1"/>
      <c r="K62" s="5" t="s">
        <v>2771</v>
      </c>
    </row>
    <row r="63" customFormat="false" ht="15" hidden="false" customHeight="false" outlineLevel="0" collapsed="false">
      <c r="A63" s="1" t="n">
        <v>47</v>
      </c>
      <c r="B63" s="1" t="n">
        <v>1</v>
      </c>
      <c r="C63" s="1" t="n">
        <f aca="false">COUNTIFS(c6raw!B:B, Table6[[#This Row],[ID]], c6raw!E:E, Table6[[#This Row],[function]],  c6raw!F:F, Table6[[#This Row],[bug type]])</f>
        <v>2</v>
      </c>
      <c r="D63" s="1" t="n">
        <v>2</v>
      </c>
      <c r="E63" s="1" t="str">
        <f aca="false">VLOOKUP(Table6[[#This Row],[ID]], riskBugs!A:I, 9, 0)</f>
        <v> https://code4rena.com/reports/2021-10-badgerdao#h-01-the-design-of-wibbtc-is-not-fully-compatible-with-the-current-curve-stableswap-pool</v>
      </c>
      <c r="F63" s="1" t="s">
        <v>1526</v>
      </c>
      <c r="G63" s="1" t="s">
        <v>392</v>
      </c>
      <c r="H63" s="1" t="s">
        <v>2654</v>
      </c>
      <c r="I63" s="1" t="s">
        <v>1126</v>
      </c>
      <c r="J63" s="3" t="s">
        <v>2043</v>
      </c>
      <c r="K63" s="1" t="s">
        <v>2772</v>
      </c>
    </row>
    <row r="64" customFormat="false" ht="15" hidden="false" customHeight="false" outlineLevel="0" collapsed="false">
      <c r="A64" s="1" t="n">
        <v>47</v>
      </c>
      <c r="B64" s="1" t="n">
        <v>1</v>
      </c>
      <c r="C64" s="1" t="n">
        <f aca="false">COUNTIFS(c6raw!B:B, Table6[[#This Row],[ID]], c6raw!E:E, Table6[[#This Row],[function]],  c6raw!F:F, Table6[[#This Row],[bug type]])</f>
        <v>3</v>
      </c>
      <c r="D64" s="1" t="n">
        <v>2</v>
      </c>
      <c r="E64" s="1" t="str">
        <f aca="false">VLOOKUP(Table6[[#This Row],[ID]], riskBugs!A:I, 9, 0)</f>
        <v> https://code4rena.com/reports/2021-10-badgerdao#h-01-the-design-of-wibbtc-is-not-fully-compatible-with-the-current-curve-stableswap-pool</v>
      </c>
      <c r="F64" s="1" t="s">
        <v>1534</v>
      </c>
      <c r="G64" s="1" t="s">
        <v>392</v>
      </c>
      <c r="H64" s="1" t="s">
        <v>2654</v>
      </c>
      <c r="I64" s="1" t="s">
        <v>1126</v>
      </c>
      <c r="J64" s="3" t="s">
        <v>2043</v>
      </c>
      <c r="K64" s="1" t="s">
        <v>2774</v>
      </c>
    </row>
    <row r="65" customFormat="false" ht="15" hidden="false" customHeight="false" outlineLevel="0" collapsed="false">
      <c r="A65" s="1" t="n">
        <v>47</v>
      </c>
      <c r="B65" s="1" t="n">
        <v>1</v>
      </c>
      <c r="C65" s="1" t="n">
        <f aca="false">COUNTIFS(c6raw!B:B, Table6[[#This Row],[ID]], c6raw!E:E, Table6[[#This Row],[function]],  c6raw!F:F, Table6[[#This Row],[bug type]])</f>
        <v>2</v>
      </c>
      <c r="D65" s="1" t="n">
        <v>2</v>
      </c>
      <c r="E65" s="1" t="str">
        <f aca="false">VLOOKUP(Table6[[#This Row],[ID]], riskBugs!A:I, 9, 0)</f>
        <v> https://code4rena.com/reports/2021-10-badgerdao#h-01-the-design-of-wibbtc-is-not-fully-compatible-with-the-current-curve-stableswap-pool</v>
      </c>
      <c r="F65" s="1" t="s">
        <v>1526</v>
      </c>
      <c r="G65" s="1" t="s">
        <v>392</v>
      </c>
      <c r="H65" s="1" t="s">
        <v>2645</v>
      </c>
      <c r="I65" s="1" t="s">
        <v>3043</v>
      </c>
      <c r="J65" s="1"/>
      <c r="K65" s="1" t="s">
        <v>2776</v>
      </c>
    </row>
    <row r="66" customFormat="false" ht="15" hidden="false" customHeight="false" outlineLevel="0" collapsed="false">
      <c r="A66" s="5" t="n">
        <v>47</v>
      </c>
      <c r="B66" s="5" t="n">
        <v>1</v>
      </c>
      <c r="C66" s="5" t="n">
        <f aca="false">COUNTIFS(c6raw!B:B, Table6[[#This Row],[ID]], c6raw!E:E, Table6[[#This Row],[function]],  c6raw!F:F, Table6[[#This Row],[bug type]])</f>
        <v>2</v>
      </c>
      <c r="D66" s="5" t="n">
        <v>3</v>
      </c>
      <c r="E66" s="5" t="str">
        <f aca="false">VLOOKUP(Table6[[#This Row],[ID]], riskBugs!A:I, 9, 0)</f>
        <v> https://code4rena.com/reports/2021-10-badgerdao#h-01-the-design-of-wibbtc-is-not-fully-compatible-with-the-current-curve-stableswap-pool</v>
      </c>
      <c r="F66" s="5" t="s">
        <v>2777</v>
      </c>
      <c r="G66" s="1" t="s">
        <v>392</v>
      </c>
      <c r="H66" s="1" t="s">
        <v>2654</v>
      </c>
      <c r="I66" s="1" t="s">
        <v>1126</v>
      </c>
      <c r="J66" s="3" t="s">
        <v>2043</v>
      </c>
      <c r="K66" s="5" t="s">
        <v>2778</v>
      </c>
    </row>
    <row r="67" customFormat="false" ht="15" hidden="false" customHeight="false" outlineLevel="0" collapsed="false">
      <c r="A67" s="5" t="n">
        <v>47</v>
      </c>
      <c r="B67" s="5" t="n">
        <v>3</v>
      </c>
      <c r="C67" s="5" t="n">
        <f aca="false">COUNTIFS(c6raw!B:B, Table6[[#This Row],[ID]], c6raw!E:E, Table6[[#This Row],[function]],  c6raw!F:F, Table6[[#This Row],[bug type]])</f>
        <v>1</v>
      </c>
      <c r="D67" s="5" t="n">
        <v>1</v>
      </c>
      <c r="E67" s="5" t="str">
        <f aca="false">VLOOKUP(Table6[[#This Row],[ID]], riskBugs!A:I, 9, 0)</f>
        <v> https://code4rena.com/reports/2021-10-badgerdao#h-01-the-design-of-wibbtc-is-not-fully-compatible-with-the-current-curve-stableswap-pool</v>
      </c>
      <c r="F67" s="5" t="s">
        <v>2781</v>
      </c>
      <c r="G67" s="1" t="s">
        <v>392</v>
      </c>
      <c r="H67" s="1" t="s">
        <v>2645</v>
      </c>
      <c r="I67" s="1" t="s">
        <v>2051</v>
      </c>
      <c r="J67" s="1"/>
      <c r="K67" s="5" t="s">
        <v>2782</v>
      </c>
    </row>
    <row r="68" customFormat="false" ht="15" hidden="false" customHeight="false" outlineLevel="0" collapsed="false">
      <c r="A68" s="1" t="n">
        <v>47</v>
      </c>
      <c r="B68" s="1" t="n">
        <v>3</v>
      </c>
      <c r="C68" s="1" t="n">
        <f aca="false">COUNTIFS(c6raw!B:B, Table6[[#This Row],[ID]], c6raw!E:E, Table6[[#This Row],[function]],  c6raw!F:F, Table6[[#This Row],[bug type]])</f>
        <v>1</v>
      </c>
      <c r="D68" s="1" t="n">
        <v>2</v>
      </c>
      <c r="E68" s="1" t="str">
        <f aca="false">VLOOKUP(Table6[[#This Row],[ID]], riskBugs!A:I, 9, 0)</f>
        <v> https://code4rena.com/reports/2021-10-badgerdao#h-01-the-design-of-wibbtc-is-not-fully-compatible-with-the-current-curve-stableswap-pool</v>
      </c>
      <c r="F68" s="1" t="s">
        <v>1534</v>
      </c>
      <c r="G68" s="1" t="s">
        <v>392</v>
      </c>
      <c r="H68" s="1" t="s">
        <v>2649</v>
      </c>
      <c r="I68" s="1" t="s">
        <v>1126</v>
      </c>
      <c r="J68" s="3" t="s">
        <v>2043</v>
      </c>
      <c r="K68" s="1" t="s">
        <v>2783</v>
      </c>
    </row>
    <row r="69" customFormat="false" ht="15" hidden="false" customHeight="false" outlineLevel="0" collapsed="false">
      <c r="A69" s="5" t="n">
        <v>47</v>
      </c>
      <c r="B69" s="5" t="n">
        <v>3</v>
      </c>
      <c r="C69" s="5" t="n">
        <f aca="false">COUNTIFS(c6raw!B:B, Table6[[#This Row],[ID]], c6raw!E:E, Table6[[#This Row],[function]],  c6raw!F:F, Table6[[#This Row],[bug type]])</f>
        <v>1</v>
      </c>
      <c r="D69" s="5" t="n">
        <v>1</v>
      </c>
      <c r="E69" s="5" t="str">
        <f aca="false">VLOOKUP(Table6[[#This Row],[ID]], riskBugs!A:I, 9, 0)</f>
        <v> https://code4rena.com/reports/2021-10-badgerdao#h-01-the-design-of-wibbtc-is-not-fully-compatible-with-the-current-curve-stableswap-pool</v>
      </c>
      <c r="F69" s="5" t="s">
        <v>1526</v>
      </c>
      <c r="G69" s="1" t="s">
        <v>392</v>
      </c>
      <c r="H69" s="1" t="s">
        <v>2649</v>
      </c>
      <c r="I69" s="1" t="s">
        <v>2005</v>
      </c>
      <c r="J69" s="1"/>
      <c r="K69" s="5" t="s">
        <v>2785</v>
      </c>
    </row>
    <row r="70" customFormat="false" ht="15" hidden="false" customHeight="false" outlineLevel="0" collapsed="false">
      <c r="A70" s="5" t="n">
        <v>51</v>
      </c>
      <c r="B70" s="5" t="n">
        <v>1</v>
      </c>
      <c r="C70" s="5" t="n">
        <f aca="false">COUNTIFS(c6raw!B:B, Table6[[#This Row],[ID]], c6raw!E:E, Table6[[#This Row],[function]],  c6raw!F:F, Table6[[#This Row],[bug type]])</f>
        <v>1</v>
      </c>
      <c r="D70" s="5" t="n">
        <v>1</v>
      </c>
      <c r="E70" s="5" t="str">
        <f aca="false">VLOOKUP(Table6[[#This Row],[ID]], riskBugs!A:I, 9, 0)</f>
        <v> https://code4rena.com/reports/2021-11-bootfinance#h-02-can-not-update-target-price</v>
      </c>
      <c r="F70" s="5" t="s">
        <v>2787</v>
      </c>
      <c r="G70" s="5" t="s">
        <v>412</v>
      </c>
      <c r="H70" s="1" t="s">
        <v>2645</v>
      </c>
      <c r="I70" s="1" t="s">
        <v>3044</v>
      </c>
      <c r="J70" s="1"/>
      <c r="K70" s="5" t="s">
        <v>2788</v>
      </c>
    </row>
    <row r="71" customFormat="false" ht="15" hidden="false" customHeight="false" outlineLevel="0" collapsed="false">
      <c r="A71" s="1" t="n">
        <v>51</v>
      </c>
      <c r="B71" s="1" t="n">
        <v>2</v>
      </c>
      <c r="C71" s="1" t="n">
        <f aca="false">COUNTIFS(c6raw!B:B, Table6[[#This Row],[ID]], c6raw!E:E, Table6[[#This Row],[function]],  c6raw!F:F, Table6[[#This Row],[bug type]])</f>
        <v>1</v>
      </c>
      <c r="D71" s="1" t="n">
        <v>1</v>
      </c>
      <c r="E71" s="1" t="str">
        <f aca="false">VLOOKUP(Table6[[#This Row],[ID]], riskBugs!A:I, 9, 0)</f>
        <v> https://code4rena.com/reports/2021-11-bootfinance#h-02-can-not-update-target-price</v>
      </c>
      <c r="F71" s="1" t="s">
        <v>2789</v>
      </c>
      <c r="G71" s="1" t="s">
        <v>412</v>
      </c>
      <c r="H71" s="1" t="s">
        <v>2645</v>
      </c>
      <c r="I71" s="1" t="s">
        <v>3044</v>
      </c>
      <c r="J71" s="1"/>
      <c r="K71" s="1" t="s">
        <v>2790</v>
      </c>
    </row>
    <row r="72" customFormat="false" ht="15" hidden="false" customHeight="false" outlineLevel="0" collapsed="false">
      <c r="A72" s="5" t="n">
        <v>52</v>
      </c>
      <c r="B72" s="5" t="n">
        <v>1</v>
      </c>
      <c r="C72" s="5" t="n">
        <f aca="false">COUNTIFS(c6raw!B:B, Table6[[#This Row],[ID]], c6raw!E:E, Table6[[#This Row],[function]],  c6raw!F:F, Table6[[#This Row],[bug type]])</f>
        <v>3</v>
      </c>
      <c r="D72" s="5" t="n">
        <v>1</v>
      </c>
      <c r="E72" s="5" t="str">
        <f aca="false">VLOOKUP(Table6[[#This Row],[ID]], riskBugs!A:I, 9, 0)</f>
        <v> https://code4rena.com/reports/2021-11-vader#h-01-minting-and-burning-synths-exposes-users-to-unlimited-slippage</v>
      </c>
      <c r="F72" s="5" t="s">
        <v>970</v>
      </c>
      <c r="G72" s="1" t="s">
        <v>425</v>
      </c>
      <c r="H72" s="1" t="s">
        <v>2649</v>
      </c>
      <c r="I72" s="1" t="s">
        <v>2033</v>
      </c>
      <c r="J72" s="1"/>
      <c r="K72" s="5" t="s">
        <v>2791</v>
      </c>
    </row>
    <row r="73" customFormat="false" ht="15" hidden="false" customHeight="false" outlineLevel="0" collapsed="false">
      <c r="A73" s="5" t="n">
        <v>52</v>
      </c>
      <c r="B73" s="5" t="n">
        <v>1</v>
      </c>
      <c r="C73" s="5" t="n">
        <f aca="false">COUNTIFS(c6raw!B:B, Table6[[#This Row],[ID]], c6raw!E:E, Table6[[#This Row],[function]],  c6raw!F:F, Table6[[#This Row],[bug type]])</f>
        <v>1</v>
      </c>
      <c r="D73" s="5" t="n">
        <v>3</v>
      </c>
      <c r="E73" s="5" t="str">
        <f aca="false">VLOOKUP(Table6[[#This Row],[ID]], riskBugs!A:I, 9, 0)</f>
        <v> https://code4rena.com/reports/2021-11-vader#h-01-minting-and-burning-synths-exposes-users-to-unlimited-slippage</v>
      </c>
      <c r="F73" s="5" t="s">
        <v>1600</v>
      </c>
      <c r="G73" s="1" t="s">
        <v>441</v>
      </c>
      <c r="H73" s="1" t="s">
        <v>2654</v>
      </c>
      <c r="I73" s="1" t="s">
        <v>2005</v>
      </c>
      <c r="J73" s="1"/>
      <c r="K73" s="5" t="s">
        <v>2794</v>
      </c>
    </row>
    <row r="74" customFormat="false" ht="15" hidden="false" customHeight="false" outlineLevel="0" collapsed="false">
      <c r="A74" s="1" t="n">
        <v>52</v>
      </c>
      <c r="B74" s="1" t="n">
        <v>1</v>
      </c>
      <c r="C74" s="1" t="n">
        <f aca="false">COUNTIFS(c6raw!B:B, Table6[[#This Row],[ID]], c6raw!E:E, Table6[[#This Row],[function]],  c6raw!F:F, Table6[[#This Row],[bug type]])</f>
        <v>1</v>
      </c>
      <c r="D74" s="1" t="n">
        <v>4</v>
      </c>
      <c r="E74" s="1" t="str">
        <f aca="false">VLOOKUP(Table6[[#This Row],[ID]], riskBugs!A:I, 9, 0)</f>
        <v> https://code4rena.com/reports/2021-11-vader#h-01-minting-and-burning-synths-exposes-users-to-unlimited-slippage</v>
      </c>
      <c r="F74" s="1" t="s">
        <v>2795</v>
      </c>
      <c r="G74" s="1" t="s">
        <v>428</v>
      </c>
      <c r="H74" s="1" t="s">
        <v>2654</v>
      </c>
      <c r="I74" s="1" t="s">
        <v>3045</v>
      </c>
      <c r="J74" s="1"/>
      <c r="K74" s="1" t="s">
        <v>2796</v>
      </c>
    </row>
    <row r="75" customFormat="false" ht="15" hidden="false" customHeight="false" outlineLevel="0" collapsed="false">
      <c r="A75" s="1" t="n">
        <v>52</v>
      </c>
      <c r="B75" s="1" t="n">
        <v>1</v>
      </c>
      <c r="C75" s="1" t="n">
        <f aca="false">COUNTIFS(c6raw!B:B, Table6[[#This Row],[ID]], c6raw!E:E, Table6[[#This Row],[function]],  c6raw!F:F, Table6[[#This Row],[bug type]])</f>
        <v>1</v>
      </c>
      <c r="D75" s="1" t="n">
        <v>1</v>
      </c>
      <c r="E75" s="1" t="str">
        <f aca="false">VLOOKUP(Table6[[#This Row],[ID]], riskBugs!A:I, 9, 0)</f>
        <v> https://code4rena.com/reports/2021-11-vader#h-01-minting-and-burning-synths-exposes-users-to-unlimited-slippage</v>
      </c>
      <c r="F75" s="1" t="s">
        <v>2797</v>
      </c>
      <c r="G75" s="1" t="s">
        <v>425</v>
      </c>
      <c r="H75" s="1" t="s">
        <v>2649</v>
      </c>
      <c r="I75" s="1" t="s">
        <v>2001</v>
      </c>
      <c r="J75" s="1"/>
      <c r="K75" s="1" t="s">
        <v>2798</v>
      </c>
    </row>
    <row r="76" customFormat="false" ht="15" hidden="false" customHeight="false" outlineLevel="0" collapsed="false">
      <c r="A76" s="5" t="n">
        <v>52</v>
      </c>
      <c r="B76" s="5" t="n">
        <v>1</v>
      </c>
      <c r="C76" s="5" t="n">
        <f aca="false">COUNTIFS(c6raw!B:B, Table6[[#This Row],[ID]], c6raw!E:E, Table6[[#This Row],[function]],  c6raw!F:F, Table6[[#This Row],[bug type]])</f>
        <v>1</v>
      </c>
      <c r="D76" s="5" t="n">
        <v>2</v>
      </c>
      <c r="E76" s="5" t="str">
        <f aca="false">VLOOKUP(Table6[[#This Row],[ID]], riskBugs!A:I, 9, 0)</f>
        <v> https://code4rena.com/reports/2021-11-vader#h-01-minting-and-burning-synths-exposes-users-to-unlimited-slippage</v>
      </c>
      <c r="F76" s="5" t="s">
        <v>2799</v>
      </c>
      <c r="G76" s="1" t="s">
        <v>441</v>
      </c>
      <c r="H76" s="1" t="s">
        <v>2649</v>
      </c>
      <c r="I76" s="1" t="s">
        <v>2001</v>
      </c>
      <c r="J76" s="1"/>
      <c r="K76" s="5" t="s">
        <v>2800</v>
      </c>
    </row>
    <row r="77" customFormat="false" ht="15" hidden="false" customHeight="false" outlineLevel="0" collapsed="false">
      <c r="A77" s="5" t="n">
        <v>52</v>
      </c>
      <c r="B77" s="5" t="n">
        <v>2</v>
      </c>
      <c r="C77" s="5" t="n">
        <f aca="false">COUNTIFS(c6raw!B:B, Table6[[#This Row],[ID]], c6raw!E:E, Table6[[#This Row],[function]],  c6raw!F:F, Table6[[#This Row],[bug type]])</f>
        <v>1</v>
      </c>
      <c r="D77" s="5" t="n">
        <v>1</v>
      </c>
      <c r="E77" s="5" t="str">
        <f aca="false">VLOOKUP(Table6[[#This Row],[ID]], riskBugs!A:I, 9, 0)</f>
        <v> https://code4rena.com/reports/2021-11-vader#h-01-minting-and-burning-synths-exposes-users-to-unlimited-slippage</v>
      </c>
      <c r="F77" s="5" t="s">
        <v>1056</v>
      </c>
      <c r="G77" s="1" t="s">
        <v>428</v>
      </c>
      <c r="H77" s="1" t="s">
        <v>2654</v>
      </c>
      <c r="I77" s="1" t="s">
        <v>2005</v>
      </c>
      <c r="J77" s="1"/>
      <c r="K77" s="5" t="s">
        <v>2801</v>
      </c>
    </row>
    <row r="78" customFormat="false" ht="15" hidden="false" customHeight="false" outlineLevel="0" collapsed="false">
      <c r="A78" s="5" t="n">
        <v>52</v>
      </c>
      <c r="B78" s="5" t="n">
        <v>2</v>
      </c>
      <c r="C78" s="5" t="n">
        <f aca="false">COUNTIFS(c6raw!B:B, Table6[[#This Row],[ID]], c6raw!E:E, Table6[[#This Row],[function]],  c6raw!F:F, Table6[[#This Row],[bug type]])</f>
        <v>1</v>
      </c>
      <c r="D78" s="5" t="n">
        <v>1</v>
      </c>
      <c r="E78" s="5" t="str">
        <f aca="false">VLOOKUP(Table6[[#This Row],[ID]], riskBugs!A:I, 9, 0)</f>
        <v> https://code4rena.com/reports/2021-11-vader#h-01-minting-and-burning-synths-exposes-users-to-unlimited-slippage</v>
      </c>
      <c r="F78" s="5" t="s">
        <v>2803</v>
      </c>
      <c r="G78" s="1" t="s">
        <v>428</v>
      </c>
      <c r="H78" s="1" t="s">
        <v>2645</v>
      </c>
      <c r="I78" s="1" t="s">
        <v>3046</v>
      </c>
      <c r="J78" s="1"/>
      <c r="K78" s="5" t="s">
        <v>2804</v>
      </c>
    </row>
    <row r="79" customFormat="false" ht="15" hidden="false" customHeight="false" outlineLevel="0" collapsed="false">
      <c r="A79" s="1" t="n">
        <v>52</v>
      </c>
      <c r="B79" s="1" t="n">
        <v>2</v>
      </c>
      <c r="C79" s="1" t="n">
        <f aca="false">COUNTIFS(c6raw!B:B, Table6[[#This Row],[ID]], c6raw!E:E, Table6[[#This Row],[function]],  c6raw!F:F, Table6[[#This Row],[bug type]])</f>
        <v>1</v>
      </c>
      <c r="D79" s="1" t="n">
        <v>2</v>
      </c>
      <c r="E79" s="1" t="str">
        <f aca="false">VLOOKUP(Table6[[#This Row],[ID]], riskBugs!A:I, 9, 0)</f>
        <v> https://code4rena.com/reports/2021-11-vader#h-01-minting-and-burning-synths-exposes-users-to-unlimited-slippage</v>
      </c>
      <c r="F79" s="1" t="s">
        <v>2052</v>
      </c>
      <c r="G79" s="1" t="s">
        <v>441</v>
      </c>
      <c r="H79" s="1" t="s">
        <v>2649</v>
      </c>
      <c r="I79" s="1" t="s">
        <v>2005</v>
      </c>
      <c r="J79" s="1"/>
      <c r="K79" s="1" t="s">
        <v>2805</v>
      </c>
    </row>
    <row r="80" customFormat="false" ht="15" hidden="false" customHeight="false" outlineLevel="0" collapsed="false">
      <c r="A80" s="5" t="n">
        <v>52</v>
      </c>
      <c r="B80" s="5" t="n">
        <v>2</v>
      </c>
      <c r="C80" s="5" t="n">
        <f aca="false">COUNTIFS(c6raw!B:B, Table6[[#This Row],[ID]], c6raw!E:E, Table6[[#This Row],[function]],  c6raw!F:F, Table6[[#This Row],[bug type]])</f>
        <v>1</v>
      </c>
      <c r="D80" s="5" t="n">
        <v>3</v>
      </c>
      <c r="E80" s="5" t="str">
        <f aca="false">VLOOKUP(Table6[[#This Row],[ID]], riskBugs!A:I, 9, 0)</f>
        <v> https://code4rena.com/reports/2021-11-vader#h-01-minting-and-burning-synths-exposes-users-to-unlimited-slippage</v>
      </c>
      <c r="F80" s="5" t="s">
        <v>2050</v>
      </c>
      <c r="G80" s="1" t="s">
        <v>428</v>
      </c>
      <c r="H80" s="1" t="s">
        <v>2654</v>
      </c>
      <c r="I80" s="1" t="s">
        <v>2005</v>
      </c>
      <c r="J80" s="1"/>
      <c r="K80" s="5" t="s">
        <v>2806</v>
      </c>
    </row>
    <row r="81" customFormat="false" ht="15" hidden="false" customHeight="false" outlineLevel="0" collapsed="false">
      <c r="A81" s="1" t="n">
        <v>52</v>
      </c>
      <c r="B81" s="1" t="n">
        <v>2</v>
      </c>
      <c r="C81" s="1" t="n">
        <f aca="false">COUNTIFS(c6raw!B:B, Table6[[#This Row],[ID]], c6raw!E:E, Table6[[#This Row],[function]],  c6raw!F:F, Table6[[#This Row],[bug type]])</f>
        <v>1</v>
      </c>
      <c r="D81" s="1" t="n">
        <v>4</v>
      </c>
      <c r="E81" s="1" t="str">
        <f aca="false">VLOOKUP(Table6[[#This Row],[ID]], riskBugs!A:I, 9, 0)</f>
        <v> https://code4rena.com/reports/2021-11-vader#h-01-minting-and-burning-synths-exposes-users-to-unlimited-slippage</v>
      </c>
      <c r="F81" s="1" t="s">
        <v>2052</v>
      </c>
      <c r="G81" s="1" t="s">
        <v>425</v>
      </c>
      <c r="H81" s="1" t="s">
        <v>2654</v>
      </c>
      <c r="I81" s="1" t="s">
        <v>2005</v>
      </c>
      <c r="J81" s="1"/>
      <c r="K81" s="1" t="s">
        <v>2807</v>
      </c>
    </row>
    <row r="82" customFormat="false" ht="15" hidden="false" customHeight="false" outlineLevel="0" collapsed="false">
      <c r="A82" s="5" t="n">
        <v>52</v>
      </c>
      <c r="B82" s="5" t="n">
        <v>2</v>
      </c>
      <c r="C82" s="5" t="n">
        <f aca="false">COUNTIFS(c6raw!B:B, Table6[[#This Row],[ID]], c6raw!E:E, Table6[[#This Row],[function]],  c6raw!F:F, Table6[[#This Row],[bug type]])</f>
        <v>1</v>
      </c>
      <c r="D82" s="5" t="n">
        <v>1</v>
      </c>
      <c r="E82" s="5" t="str">
        <f aca="false">VLOOKUP(Table6[[#This Row],[ID]], riskBugs!A:I, 9, 0)</f>
        <v> https://code4rena.com/reports/2021-11-vader#h-01-minting-and-burning-synths-exposes-users-to-unlimited-slippage</v>
      </c>
      <c r="F82" s="5" t="s">
        <v>2797</v>
      </c>
      <c r="G82" s="1" t="s">
        <v>441</v>
      </c>
      <c r="H82" s="1" t="s">
        <v>2654</v>
      </c>
      <c r="I82" s="1" t="s">
        <v>2005</v>
      </c>
      <c r="J82" s="1"/>
      <c r="K82" s="5" t="s">
        <v>2808</v>
      </c>
    </row>
    <row r="83" customFormat="false" ht="15" hidden="false" customHeight="false" outlineLevel="0" collapsed="false">
      <c r="A83" s="5" t="n">
        <v>52</v>
      </c>
      <c r="B83" s="5" t="n">
        <v>3</v>
      </c>
      <c r="C83" s="5" t="n">
        <f aca="false">COUNTIFS(c6raw!B:B, Table6[[#This Row],[ID]], c6raw!E:E, Table6[[#This Row],[function]],  c6raw!F:F, Table6[[#This Row],[bug type]])</f>
        <v>1</v>
      </c>
      <c r="D83" s="5" t="n">
        <v>2</v>
      </c>
      <c r="E83" s="5" t="str">
        <f aca="false">VLOOKUP(Table6[[#This Row],[ID]], riskBugs!A:I, 9, 0)</f>
        <v> https://code4rena.com/reports/2021-11-vader#h-01-minting-and-burning-synths-exposes-users-to-unlimited-slippage</v>
      </c>
      <c r="F83" s="5" t="s">
        <v>1056</v>
      </c>
      <c r="G83" s="1" t="s">
        <v>441</v>
      </c>
      <c r="H83" s="1" t="s">
        <v>2645</v>
      </c>
      <c r="I83" s="1" t="s">
        <v>3017</v>
      </c>
      <c r="J83" s="1"/>
      <c r="K83" s="5" t="s">
        <v>2810</v>
      </c>
    </row>
    <row r="84" customFormat="false" ht="15" hidden="false" customHeight="false" outlineLevel="0" collapsed="false">
      <c r="A84" s="1" t="n">
        <v>52</v>
      </c>
      <c r="B84" s="1" t="n">
        <v>3</v>
      </c>
      <c r="C84" s="1" t="n">
        <f aca="false">COUNTIFS(c6raw!B:B, Table6[[#This Row],[ID]], c6raw!E:E, Table6[[#This Row],[function]],  c6raw!F:F, Table6[[#This Row],[bug type]])</f>
        <v>1</v>
      </c>
      <c r="D84" s="1" t="n">
        <v>3</v>
      </c>
      <c r="E84" s="1" t="str">
        <f aca="false">VLOOKUP(Table6[[#This Row],[ID]], riskBugs!A:I, 9, 0)</f>
        <v> https://code4rena.com/reports/2021-11-vader#h-01-minting-and-burning-synths-exposes-users-to-unlimited-slippage</v>
      </c>
      <c r="F84" s="1" t="s">
        <v>1609</v>
      </c>
      <c r="G84" s="1" t="s">
        <v>441</v>
      </c>
      <c r="H84" s="1" t="s">
        <v>2654</v>
      </c>
      <c r="I84" s="1" t="s">
        <v>3017</v>
      </c>
      <c r="J84" s="1"/>
      <c r="K84" s="1" t="s">
        <v>2811</v>
      </c>
    </row>
    <row r="85" customFormat="false" ht="15" hidden="false" customHeight="false" outlineLevel="0" collapsed="false">
      <c r="A85" s="5" t="n">
        <v>54</v>
      </c>
      <c r="B85" s="5" t="n">
        <v>1</v>
      </c>
      <c r="C85" s="5" t="n">
        <f aca="false">COUNTIFS(c6raw!B:B, Table6[[#This Row],[ID]], c6raw!E:E, Table6[[#This Row],[function]],  c6raw!F:F, Table6[[#This Row],[bug type]])</f>
        <v>3</v>
      </c>
      <c r="D85" s="5" t="n">
        <v>2</v>
      </c>
      <c r="E85" s="5" t="str">
        <f aca="false">VLOOKUP(Table6[[#This Row],[ID]], riskBugs!A:I, 9, 0)</f>
        <v> https://code4rena.com/reports/2021-11-unlock#h-01-mev-miner-can-mint-larger-than-expected-udt-total-supply</v>
      </c>
      <c r="F85" s="5" t="s">
        <v>2812</v>
      </c>
      <c r="G85" s="15" t="s">
        <v>3047</v>
      </c>
      <c r="H85" s="1" t="s">
        <v>2649</v>
      </c>
      <c r="I85" s="1" t="s">
        <v>2005</v>
      </c>
      <c r="J85" s="1"/>
      <c r="K85" s="5" t="s">
        <v>2813</v>
      </c>
    </row>
    <row r="86" customFormat="false" ht="15" hidden="false" customHeight="false" outlineLevel="0" collapsed="false">
      <c r="A86" s="1" t="n">
        <v>54</v>
      </c>
      <c r="B86" s="1" t="n">
        <v>1</v>
      </c>
      <c r="C86" s="1" t="n">
        <f aca="false">COUNTIFS(c6raw!B:B, Table6[[#This Row],[ID]], c6raw!E:E, Table6[[#This Row],[function]],  c6raw!F:F, Table6[[#This Row],[bug type]])</f>
        <v>2</v>
      </c>
      <c r="D86" s="1" t="n">
        <v>3</v>
      </c>
      <c r="E86" s="1" t="str">
        <f aca="false">VLOOKUP(Table6[[#This Row],[ID]], riskBugs!A:I, 9, 0)</f>
        <v> https://code4rena.com/reports/2021-11-unlock#h-01-mev-miner-can-mint-larger-than-expected-udt-total-supply</v>
      </c>
      <c r="F86" s="1" t="s">
        <v>2812</v>
      </c>
      <c r="G86" s="15" t="s">
        <v>3047</v>
      </c>
      <c r="H86" s="1" t="s">
        <v>2654</v>
      </c>
      <c r="I86" s="1" t="s">
        <v>2005</v>
      </c>
      <c r="J86" s="1"/>
      <c r="K86" s="1" t="s">
        <v>2814</v>
      </c>
    </row>
    <row r="87" customFormat="false" ht="15" hidden="false" customHeight="false" outlineLevel="0" collapsed="false">
      <c r="A87" s="1" t="n">
        <v>54</v>
      </c>
      <c r="B87" s="1" t="n">
        <v>1</v>
      </c>
      <c r="C87" s="1" t="n">
        <f aca="false">COUNTIFS(c6raw!B:B, Table6[[#This Row],[ID]], c6raw!E:E, Table6[[#This Row],[function]],  c6raw!F:F, Table6[[#This Row],[bug type]])</f>
        <v>1</v>
      </c>
      <c r="D87" s="1" t="n">
        <v>1</v>
      </c>
      <c r="E87" s="1" t="str">
        <f aca="false">VLOOKUP(Table6[[#This Row],[ID]], riskBugs!A:I, 9, 0)</f>
        <v> https://code4rena.com/reports/2021-11-unlock#h-01-mev-miner-can-mint-larger-than-expected-udt-total-supply</v>
      </c>
      <c r="F87" s="1" t="s">
        <v>2459</v>
      </c>
      <c r="G87" s="15" t="s">
        <v>511</v>
      </c>
      <c r="H87" s="1" t="s">
        <v>2649</v>
      </c>
      <c r="I87" s="1" t="s">
        <v>3048</v>
      </c>
      <c r="J87" s="1"/>
      <c r="K87" s="1" t="s">
        <v>2815</v>
      </c>
    </row>
    <row r="88" customFormat="false" ht="15" hidden="false" customHeight="false" outlineLevel="0" collapsed="false">
      <c r="A88" s="5" t="n">
        <v>54</v>
      </c>
      <c r="B88" s="5" t="n">
        <v>1</v>
      </c>
      <c r="C88" s="5" t="n">
        <f aca="false">COUNTIFS(c6raw!B:B, Table6[[#This Row],[ID]], c6raw!E:E, Table6[[#This Row],[function]],  c6raw!F:F, Table6[[#This Row],[bug type]])</f>
        <v>1</v>
      </c>
      <c r="D88" s="5" t="n">
        <v>2</v>
      </c>
      <c r="E88" s="5" t="str">
        <f aca="false">VLOOKUP(Table6[[#This Row],[ID]], riskBugs!A:I, 9, 0)</f>
        <v> https://code4rena.com/reports/2021-11-unlock#h-01-mev-miner-can-mint-larger-than-expected-udt-total-supply</v>
      </c>
      <c r="F88" s="5" t="s">
        <v>1551</v>
      </c>
      <c r="G88" s="15" t="s">
        <v>511</v>
      </c>
      <c r="H88" s="1" t="s">
        <v>2645</v>
      </c>
      <c r="I88" s="1" t="s">
        <v>3044</v>
      </c>
      <c r="J88" s="1"/>
      <c r="K88" s="5" t="s">
        <v>2816</v>
      </c>
    </row>
    <row r="89" customFormat="false" ht="15" hidden="false" customHeight="false" outlineLevel="0" collapsed="false">
      <c r="A89" s="1" t="n">
        <v>54</v>
      </c>
      <c r="B89" s="1" t="n">
        <v>1</v>
      </c>
      <c r="C89" s="1" t="n">
        <f aca="false">COUNTIFS(c6raw!B:B, Table6[[#This Row],[ID]], c6raw!E:E, Table6[[#This Row],[function]],  c6raw!F:F, Table6[[#This Row],[bug type]])</f>
        <v>1</v>
      </c>
      <c r="D89" s="1" t="n">
        <v>3</v>
      </c>
      <c r="E89" s="1" t="str">
        <f aca="false">VLOOKUP(Table6[[#This Row],[ID]], riskBugs!A:I, 9, 0)</f>
        <v> https://code4rena.com/reports/2021-11-unlock#h-01-mev-miner-can-mint-larger-than-expected-udt-total-supply</v>
      </c>
      <c r="F89" s="1" t="s">
        <v>1949</v>
      </c>
      <c r="G89" s="15" t="s">
        <v>511</v>
      </c>
      <c r="H89" s="1" t="s">
        <v>2654</v>
      </c>
      <c r="I89" s="1" t="s">
        <v>3044</v>
      </c>
      <c r="J89" s="1"/>
      <c r="K89" s="1" t="s">
        <v>2817</v>
      </c>
    </row>
    <row r="90" customFormat="false" ht="15" hidden="false" customHeight="false" outlineLevel="0" collapsed="false">
      <c r="A90" s="5" t="n">
        <v>54</v>
      </c>
      <c r="B90" s="5" t="n">
        <v>2</v>
      </c>
      <c r="C90" s="5" t="n">
        <f aca="false">COUNTIFS(c6raw!B:B, Table6[[#This Row],[ID]], c6raw!E:E, Table6[[#This Row],[function]],  c6raw!F:F, Table6[[#This Row],[bug type]])</f>
        <v>1</v>
      </c>
      <c r="D90" s="5" t="n">
        <v>1</v>
      </c>
      <c r="E90" s="5" t="str">
        <f aca="false">VLOOKUP(Table6[[#This Row],[ID]], riskBugs!A:I, 9, 0)</f>
        <v> https://code4rena.com/reports/2021-11-unlock#h-01-mev-miner-can-mint-larger-than-expected-udt-total-supply</v>
      </c>
      <c r="F90" s="5" t="s">
        <v>2821</v>
      </c>
      <c r="G90" s="15" t="s">
        <v>3049</v>
      </c>
      <c r="H90" s="1" t="s">
        <v>2649</v>
      </c>
      <c r="I90" s="1" t="s">
        <v>3048</v>
      </c>
      <c r="J90" s="1"/>
      <c r="K90" s="5" t="s">
        <v>2822</v>
      </c>
    </row>
    <row r="91" customFormat="false" ht="15" hidden="false" customHeight="false" outlineLevel="0" collapsed="false">
      <c r="A91" s="1" t="n">
        <v>54</v>
      </c>
      <c r="B91" s="1" t="n">
        <v>2</v>
      </c>
      <c r="C91" s="1" t="n">
        <f aca="false">COUNTIFS(c6raw!B:B, Table6[[#This Row],[ID]], c6raw!E:E, Table6[[#This Row],[function]],  c6raw!F:F, Table6[[#This Row],[bug type]])</f>
        <v>1</v>
      </c>
      <c r="D91" s="1" t="n">
        <v>2</v>
      </c>
      <c r="E91" s="1" t="str">
        <f aca="false">VLOOKUP(Table6[[#This Row],[ID]], riskBugs!A:I, 9, 0)</f>
        <v> https://code4rena.com/reports/2021-11-unlock#h-01-mev-miner-can-mint-larger-than-expected-udt-total-supply</v>
      </c>
      <c r="F91" s="1" t="s">
        <v>2823</v>
      </c>
      <c r="G91" s="15" t="s">
        <v>3049</v>
      </c>
      <c r="H91" s="1" t="s">
        <v>2654</v>
      </c>
      <c r="I91" s="1" t="s">
        <v>3050</v>
      </c>
      <c r="J91" s="1"/>
      <c r="K91" s="1" t="s">
        <v>2824</v>
      </c>
    </row>
    <row r="92" customFormat="false" ht="15" hidden="false" customHeight="false" outlineLevel="0" collapsed="false">
      <c r="A92" s="5" t="n">
        <v>54</v>
      </c>
      <c r="B92" s="5" t="n">
        <v>2</v>
      </c>
      <c r="C92" s="5" t="n">
        <f aca="false">COUNTIFS(c6raw!B:B, Table6[[#This Row],[ID]], c6raw!E:E, Table6[[#This Row],[function]],  c6raw!F:F, Table6[[#This Row],[bug type]])</f>
        <v>1</v>
      </c>
      <c r="D92" s="5" t="n">
        <v>3</v>
      </c>
      <c r="E92" s="5" t="str">
        <f aca="false">VLOOKUP(Table6[[#This Row],[ID]], riskBugs!A:I, 9, 0)</f>
        <v> https://code4rena.com/reports/2021-11-unlock#h-01-mev-miner-can-mint-larger-than-expected-udt-total-supply</v>
      </c>
      <c r="F92" s="5" t="s">
        <v>2823</v>
      </c>
      <c r="G92" s="15" t="s">
        <v>3049</v>
      </c>
      <c r="H92" s="1" t="s">
        <v>2649</v>
      </c>
      <c r="I92" s="1" t="s">
        <v>2005</v>
      </c>
      <c r="J92" s="1"/>
      <c r="K92" s="5" t="s">
        <v>2825</v>
      </c>
    </row>
    <row r="93" customFormat="false" ht="15" hidden="false" customHeight="false" outlineLevel="0" collapsed="false">
      <c r="A93" s="1" t="n">
        <v>54</v>
      </c>
      <c r="B93" s="1" t="n">
        <v>2</v>
      </c>
      <c r="C93" s="1" t="n">
        <f aca="false">COUNTIFS(c6raw!B:B, Table6[[#This Row],[ID]], c6raw!E:E, Table6[[#This Row],[function]],  c6raw!F:F, Table6[[#This Row],[bug type]])</f>
        <v>1</v>
      </c>
      <c r="D93" s="1" t="n">
        <v>1</v>
      </c>
      <c r="E93" s="1" t="str">
        <f aca="false">VLOOKUP(Table6[[#This Row],[ID]], riskBugs!A:I, 9, 0)</f>
        <v> https://code4rena.com/reports/2021-11-unlock#h-01-mev-miner-can-mint-larger-than-expected-udt-total-supply</v>
      </c>
      <c r="F93" s="1" t="s">
        <v>2459</v>
      </c>
      <c r="G93" s="15" t="s">
        <v>511</v>
      </c>
      <c r="H93" s="1" t="s">
        <v>2645</v>
      </c>
      <c r="I93" s="1" t="s">
        <v>2051</v>
      </c>
      <c r="J93" s="1"/>
      <c r="K93" s="1" t="s">
        <v>2826</v>
      </c>
    </row>
    <row r="94" customFormat="false" ht="15" hidden="false" customHeight="false" outlineLevel="0" collapsed="false">
      <c r="A94" s="1" t="n">
        <v>54</v>
      </c>
      <c r="B94" s="1" t="n">
        <v>3</v>
      </c>
      <c r="C94" s="1" t="n">
        <f aca="false">COUNTIFS(c6raw!B:B, Table6[[#This Row],[ID]], c6raw!E:E, Table6[[#This Row],[function]],  c6raw!F:F, Table6[[#This Row],[bug type]])</f>
        <v>1</v>
      </c>
      <c r="D94" s="1" t="n">
        <v>1</v>
      </c>
      <c r="E94" s="1" t="str">
        <f aca="false">VLOOKUP(Table6[[#This Row],[ID]], riskBugs!A:I, 9, 0)</f>
        <v> https://code4rena.com/reports/2021-11-unlock#h-01-mev-miner-can-mint-larger-than-expected-udt-total-supply</v>
      </c>
      <c r="F94" s="1" t="s">
        <v>2823</v>
      </c>
      <c r="G94" s="15" t="s">
        <v>511</v>
      </c>
      <c r="H94" s="1" t="s">
        <v>2645</v>
      </c>
      <c r="I94" s="1" t="s">
        <v>2005</v>
      </c>
      <c r="J94" s="1"/>
      <c r="K94" s="1" t="s">
        <v>2827</v>
      </c>
    </row>
    <row r="95" customFormat="false" ht="15" hidden="false" customHeight="false" outlineLevel="0" collapsed="false">
      <c r="A95" s="5" t="n">
        <v>54</v>
      </c>
      <c r="B95" s="5" t="n">
        <v>3</v>
      </c>
      <c r="C95" s="5" t="n">
        <f aca="false">COUNTIFS(c6raw!B:B, Table6[[#This Row],[ID]], c6raw!E:E, Table6[[#This Row],[function]],  c6raw!F:F, Table6[[#This Row],[bug type]])</f>
        <v>1</v>
      </c>
      <c r="D95" s="5" t="n">
        <v>1</v>
      </c>
      <c r="E95" s="5" t="str">
        <f aca="false">VLOOKUP(Table6[[#This Row],[ID]], riskBugs!A:I, 9, 0)</f>
        <v> https://code4rena.com/reports/2021-11-unlock#h-01-mev-miner-can-mint-larger-than-expected-udt-total-supply</v>
      </c>
      <c r="F95" s="5" t="s">
        <v>2812</v>
      </c>
      <c r="G95" s="15" t="s">
        <v>3047</v>
      </c>
      <c r="H95" s="1" t="s">
        <v>2645</v>
      </c>
      <c r="I95" s="1" t="s">
        <v>2051</v>
      </c>
      <c r="J95" s="1"/>
      <c r="K95" s="5" t="s">
        <v>2828</v>
      </c>
    </row>
    <row r="96" customFormat="false" ht="15" hidden="false" customHeight="false" outlineLevel="0" collapsed="false">
      <c r="A96" s="1" t="n">
        <v>58</v>
      </c>
      <c r="B96" s="1" t="n">
        <v>1</v>
      </c>
      <c r="C96" s="1" t="n">
        <f aca="false">COUNTIFS(c6raw!B:B, Table6[[#This Row],[ID]], c6raw!E:E, Table6[[#This Row],[function]],  c6raw!F:F, Table6[[#This Row],[bug type]])</f>
        <v>1</v>
      </c>
      <c r="D96" s="1" t="n">
        <v>1</v>
      </c>
      <c r="E96" s="1" t="str">
        <f aca="false">VLOOKUP(Table6[[#This Row],[ID]], riskBugs!A:I, 9, 0)</f>
        <v> https://code4rena.com/reports/2021-12-mellow#h-02-wrong-implementation-of-performancefee-can-cause-users-to-lose-50-to-100-of-their-funds</v>
      </c>
      <c r="F96" s="1" t="s">
        <v>2475</v>
      </c>
      <c r="G96" s="1" t="s">
        <v>525</v>
      </c>
      <c r="H96" s="1" t="s">
        <v>2654</v>
      </c>
      <c r="I96" s="1" t="s">
        <v>2001</v>
      </c>
      <c r="J96" s="1"/>
      <c r="K96" s="1" t="s">
        <v>2829</v>
      </c>
    </row>
    <row r="97" customFormat="false" ht="15" hidden="false" customHeight="false" outlineLevel="0" collapsed="false">
      <c r="A97" s="5" t="n">
        <v>58</v>
      </c>
      <c r="B97" s="5" t="n">
        <v>1</v>
      </c>
      <c r="C97" s="5" t="n">
        <f aca="false">COUNTIFS(c6raw!B:B, Table6[[#This Row],[ID]], c6raw!E:E, Table6[[#This Row],[function]],  c6raw!F:F, Table6[[#This Row],[bug type]])</f>
        <v>1</v>
      </c>
      <c r="D97" s="5" t="n">
        <v>2</v>
      </c>
      <c r="E97" s="5" t="str">
        <f aca="false">VLOOKUP(Table6[[#This Row],[ID]], riskBugs!A:I, 9, 0)</f>
        <v> https://code4rena.com/reports/2021-12-mellow#h-02-wrong-implementation-of-performancefee-can-cause-users-to-lose-50-to-100-of-their-funds</v>
      </c>
      <c r="F97" s="5" t="s">
        <v>2477</v>
      </c>
      <c r="G97" s="1" t="s">
        <v>525</v>
      </c>
      <c r="H97" s="1" t="s">
        <v>2649</v>
      </c>
      <c r="I97" s="1" t="s">
        <v>2005</v>
      </c>
      <c r="J97" s="1"/>
      <c r="K97" s="5" t="s">
        <v>2830</v>
      </c>
    </row>
    <row r="98" customFormat="false" ht="15" hidden="false" customHeight="false" outlineLevel="0" collapsed="false">
      <c r="A98" s="1" t="n">
        <v>61</v>
      </c>
      <c r="B98" s="1" t="n">
        <v>1</v>
      </c>
      <c r="C98" s="1" t="n">
        <f aca="false">COUNTIFS(c6raw!B:B, Table6[[#This Row],[ID]], c6raw!E:E, Table6[[#This Row],[function]],  c6raw!F:F, Table6[[#This Row],[bug type]])</f>
        <v>2</v>
      </c>
      <c r="D98" s="1" t="n">
        <v>1</v>
      </c>
      <c r="E98" s="1" t="str">
        <f aca="false">VLOOKUP(Table6[[#This Row],[ID]], riskBugs!A:I, 9, 0)</f>
        <v> https://code4rena.com/reports/2021-12-sublime#h-01-in-creditline_borrowtokenstoliquidate-oracle-is-used-wrong-way</v>
      </c>
      <c r="F98" s="1" t="s">
        <v>2831</v>
      </c>
      <c r="G98" s="2" t="s">
        <v>564</v>
      </c>
      <c r="H98" s="1" t="s">
        <v>2649</v>
      </c>
      <c r="I98" s="1" t="s">
        <v>2005</v>
      </c>
      <c r="J98" s="1"/>
      <c r="K98" s="1" t="s">
        <v>2832</v>
      </c>
    </row>
    <row r="99" customFormat="false" ht="15" hidden="false" customHeight="false" outlineLevel="0" collapsed="false">
      <c r="A99" s="5" t="n">
        <v>61</v>
      </c>
      <c r="B99" s="5" t="n">
        <v>1</v>
      </c>
      <c r="C99" s="5" t="n">
        <f aca="false">COUNTIFS(c6raw!B:B, Table6[[#This Row],[ID]], c6raw!E:E, Table6[[#This Row],[function]],  c6raw!F:F, Table6[[#This Row],[bug type]])</f>
        <v>3</v>
      </c>
      <c r="D99" s="5" t="n">
        <v>2</v>
      </c>
      <c r="E99" s="5" t="str">
        <f aca="false">VLOOKUP(Table6[[#This Row],[ID]], riskBugs!A:I, 9, 0)</f>
        <v> https://code4rena.com/reports/2021-12-sublime#h-01-in-creditline_borrowtokenstoliquidate-oracle-is-used-wrong-way</v>
      </c>
      <c r="F99" s="5" t="s">
        <v>2833</v>
      </c>
      <c r="G99" s="2" t="s">
        <v>564</v>
      </c>
      <c r="H99" s="1" t="s">
        <v>2654</v>
      </c>
      <c r="I99" s="1" t="s">
        <v>2005</v>
      </c>
      <c r="J99" s="1"/>
      <c r="K99" s="5" t="s">
        <v>2834</v>
      </c>
    </row>
    <row r="100" customFormat="false" ht="15" hidden="false" customHeight="false" outlineLevel="0" collapsed="false">
      <c r="A100" s="1" t="n">
        <v>61</v>
      </c>
      <c r="B100" s="1" t="n">
        <v>1</v>
      </c>
      <c r="C100" s="1" t="n">
        <f aca="false">COUNTIFS(c6raw!B:B, Table6[[#This Row],[ID]], c6raw!E:E, Table6[[#This Row],[function]],  c6raw!F:F, Table6[[#This Row],[bug type]])</f>
        <v>2</v>
      </c>
      <c r="D100" s="1" t="n">
        <v>3</v>
      </c>
      <c r="E100" s="1" t="str">
        <f aca="false">VLOOKUP(Table6[[#This Row],[ID]], riskBugs!A:I, 9, 0)</f>
        <v> https://code4rena.com/reports/2021-12-sublime#h-01-in-creditline_borrowtokenstoliquidate-oracle-is-used-wrong-way</v>
      </c>
      <c r="F100" s="1" t="s">
        <v>2835</v>
      </c>
      <c r="G100" s="2" t="s">
        <v>564</v>
      </c>
      <c r="H100" s="1" t="s">
        <v>2649</v>
      </c>
      <c r="I100" s="1" t="s">
        <v>2005</v>
      </c>
      <c r="J100" s="1"/>
      <c r="K100" s="1" t="s">
        <v>2836</v>
      </c>
    </row>
    <row r="101" customFormat="false" ht="15" hidden="false" customHeight="false" outlineLevel="0" collapsed="false">
      <c r="A101" s="1" t="n">
        <v>61</v>
      </c>
      <c r="B101" s="1" t="n">
        <v>2</v>
      </c>
      <c r="C101" s="1" t="n">
        <f aca="false">COUNTIFS(c6raw!B:B, Table6[[#This Row],[ID]], c6raw!E:E, Table6[[#This Row],[function]],  c6raw!F:F, Table6[[#This Row],[bug type]])</f>
        <v>1</v>
      </c>
      <c r="D101" s="1" t="n">
        <v>1</v>
      </c>
      <c r="E101" s="1" t="str">
        <f aca="false">VLOOKUP(Table6[[#This Row],[ID]], riskBugs!A:I, 9, 0)</f>
        <v> https://code4rena.com/reports/2021-12-sublime#h-01-in-creditline_borrowtokenstoliquidate-oracle-is-used-wrong-way</v>
      </c>
      <c r="F101" s="1" t="s">
        <v>2840</v>
      </c>
      <c r="G101" s="26" t="s">
        <v>559</v>
      </c>
      <c r="H101" s="1" t="s">
        <v>2645</v>
      </c>
      <c r="I101" s="1" t="s">
        <v>2005</v>
      </c>
      <c r="J101" s="1"/>
      <c r="K101" s="1" t="s">
        <v>2841</v>
      </c>
    </row>
    <row r="102" customFormat="false" ht="15" hidden="false" customHeight="false" outlineLevel="0" collapsed="false">
      <c r="A102" s="5" t="n">
        <v>61</v>
      </c>
      <c r="B102" s="5" t="n">
        <v>2</v>
      </c>
      <c r="C102" s="5" t="n">
        <f aca="false">COUNTIFS(c6raw!B:B, Table6[[#This Row],[ID]], c6raw!E:E, Table6[[#This Row],[function]],  c6raw!F:F, Table6[[#This Row],[bug type]])</f>
        <v>1</v>
      </c>
      <c r="D102" s="5" t="n">
        <v>2</v>
      </c>
      <c r="E102" s="5" t="str">
        <f aca="false">VLOOKUP(Table6[[#This Row],[ID]], riskBugs!A:I, 9, 0)</f>
        <v> https://code4rena.com/reports/2021-12-sublime#h-01-in-creditline_borrowtokenstoliquidate-oracle-is-used-wrong-way</v>
      </c>
      <c r="F102" s="5" t="s">
        <v>2842</v>
      </c>
      <c r="G102" s="26" t="s">
        <v>559</v>
      </c>
      <c r="H102" s="1" t="s">
        <v>2654</v>
      </c>
      <c r="I102" s="1" t="s">
        <v>1154</v>
      </c>
      <c r="J102" s="3" t="s">
        <v>3051</v>
      </c>
      <c r="K102" s="5" t="s">
        <v>2843</v>
      </c>
    </row>
    <row r="103" customFormat="false" ht="15" hidden="false" customHeight="false" outlineLevel="0" collapsed="false">
      <c r="A103" s="5" t="n">
        <v>64</v>
      </c>
      <c r="B103" s="5" t="n">
        <v>1</v>
      </c>
      <c r="C103" s="5" t="n">
        <f aca="false">COUNTIFS(c6raw!B:B, Table6[[#This Row],[ID]], c6raw!E:E, Table6[[#This Row],[function]],  c6raw!F:F, Table6[[#This Row],[bug type]])</f>
        <v>1</v>
      </c>
      <c r="D103" s="5" t="n">
        <v>1</v>
      </c>
      <c r="E103" s="5" t="str">
        <f aca="false">VLOOKUP(Table6[[#This Row],[ID]], riskBugs!A:I, 9, 0)</f>
        <v> https://code4rena.com/reports/2021-12-pooltogether#h-01-createpromotion-lack-of-input-validation-for-_epochduration-can-potentially-freeze-promotion-creators-funds</v>
      </c>
      <c r="F103" s="5" t="s">
        <v>2188</v>
      </c>
      <c r="G103" s="5" t="s">
        <v>580</v>
      </c>
      <c r="H103" s="1" t="s">
        <v>2649</v>
      </c>
      <c r="I103" s="1" t="s">
        <v>3048</v>
      </c>
      <c r="J103" s="1"/>
      <c r="K103" s="5" t="s">
        <v>2848</v>
      </c>
    </row>
    <row r="104" customFormat="false" ht="15" hidden="false" customHeight="false" outlineLevel="0" collapsed="false">
      <c r="A104" s="1" t="n">
        <v>64</v>
      </c>
      <c r="B104" s="1" t="n">
        <v>1</v>
      </c>
      <c r="C104" s="1" t="n">
        <f aca="false">COUNTIFS(c6raw!B:B, Table6[[#This Row],[ID]], c6raw!E:E, Table6[[#This Row],[function]],  c6raw!F:F, Table6[[#This Row],[bug type]])</f>
        <v>1</v>
      </c>
      <c r="D104" s="1" t="n">
        <v>2</v>
      </c>
      <c r="E104" s="1" t="str">
        <f aca="false">VLOOKUP(Table6[[#This Row],[ID]], riskBugs!A:I, 9, 0)</f>
        <v> https://code4rena.com/reports/2021-12-pooltogether#h-01-createpromotion-lack-of-input-validation-for-_epochduration-can-potentially-freeze-promotion-creators-funds</v>
      </c>
      <c r="F104" s="1" t="s">
        <v>2849</v>
      </c>
      <c r="G104" s="5" t="s">
        <v>580</v>
      </c>
      <c r="H104" s="1" t="s">
        <v>2654</v>
      </c>
      <c r="I104" s="1" t="s">
        <v>2008</v>
      </c>
      <c r="J104" s="1"/>
      <c r="K104" s="1" t="s">
        <v>2850</v>
      </c>
    </row>
    <row r="105" customFormat="false" ht="15" hidden="false" customHeight="false" outlineLevel="0" collapsed="false">
      <c r="A105" s="5" t="n">
        <v>64</v>
      </c>
      <c r="B105" s="5" t="n">
        <v>1</v>
      </c>
      <c r="C105" s="5" t="n">
        <f aca="false">COUNTIFS(c6raw!B:B, Table6[[#This Row],[ID]], c6raw!E:E, Table6[[#This Row],[function]],  c6raw!F:F, Table6[[#This Row],[bug type]])</f>
        <v>1</v>
      </c>
      <c r="D105" s="5" t="n">
        <v>3</v>
      </c>
      <c r="E105" s="5" t="str">
        <f aca="false">VLOOKUP(Table6[[#This Row],[ID]], riskBugs!A:I, 9, 0)</f>
        <v> https://code4rena.com/reports/2021-12-pooltogether#h-01-createpromotion-lack-of-input-validation-for-_epochduration-can-potentially-freeze-promotion-creators-funds</v>
      </c>
      <c r="F105" s="5" t="s">
        <v>2851</v>
      </c>
      <c r="G105" s="5" t="s">
        <v>580</v>
      </c>
      <c r="H105" s="1" t="s">
        <v>2654</v>
      </c>
      <c r="I105" s="1" t="s">
        <v>2005</v>
      </c>
      <c r="J105" s="1"/>
      <c r="K105" s="5" t="s">
        <v>2852</v>
      </c>
    </row>
    <row r="106" customFormat="false" ht="15" hidden="false" customHeight="false" outlineLevel="0" collapsed="false">
      <c r="A106" s="1" t="n">
        <v>70</v>
      </c>
      <c r="B106" s="1" t="n">
        <v>2</v>
      </c>
      <c r="C106" s="1" t="n">
        <f aca="false">COUNTIFS(c6raw!B:B, Table6[[#This Row],[ID]], c6raw!E:E, Table6[[#This Row],[function]],  c6raw!F:F, Table6[[#This Row],[bug type]])</f>
        <v>1</v>
      </c>
      <c r="D106" s="1" t="n">
        <v>1</v>
      </c>
      <c r="E106" s="1" t="str">
        <f aca="false">VLOOKUP(Table6[[#This Row],[ID]], riskBugs!A:I, 9, 0)</f>
        <v> https://code4rena.com/reports/2021-12-vader#h-01-vaderpoolv2-minting-synths--fungibles-can-be-frontrun</v>
      </c>
      <c r="F106" s="1" t="s">
        <v>928</v>
      </c>
      <c r="G106" s="26" t="s">
        <v>420</v>
      </c>
      <c r="H106" s="1" t="s">
        <v>2645</v>
      </c>
      <c r="I106" s="1" t="s">
        <v>3048</v>
      </c>
      <c r="J106" s="1"/>
      <c r="K106" s="1" t="s">
        <v>2853</v>
      </c>
    </row>
    <row r="107" customFormat="false" ht="15" hidden="false" customHeight="false" outlineLevel="0" collapsed="false">
      <c r="A107" s="5" t="n">
        <v>70</v>
      </c>
      <c r="B107" s="5" t="n">
        <v>2</v>
      </c>
      <c r="C107" s="5" t="n">
        <f aca="false">COUNTIFS(c6raw!B:B, Table6[[#This Row],[ID]], c6raw!E:E, Table6[[#This Row],[function]],  c6raw!F:F, Table6[[#This Row],[bug type]])</f>
        <v>1</v>
      </c>
      <c r="D107" s="5" t="n">
        <v>1</v>
      </c>
      <c r="E107" s="5" t="str">
        <f aca="false">VLOOKUP(Table6[[#This Row],[ID]], riskBugs!A:I, 9, 0)</f>
        <v> https://code4rena.com/reports/2021-12-vader#h-01-vaderpoolv2-minting-synths--fungibles-can-be-frontrun</v>
      </c>
      <c r="F107" s="5" t="s">
        <v>930</v>
      </c>
      <c r="G107" s="26" t="s">
        <v>420</v>
      </c>
      <c r="H107" s="1" t="s">
        <v>2649</v>
      </c>
      <c r="I107" s="1" t="s">
        <v>2051</v>
      </c>
      <c r="J107" s="1"/>
      <c r="K107" s="5" t="s">
        <v>2854</v>
      </c>
    </row>
    <row r="108" customFormat="false" ht="15" hidden="false" customHeight="false" outlineLevel="0" collapsed="false">
      <c r="A108" s="1" t="n">
        <v>70</v>
      </c>
      <c r="B108" s="1" t="n">
        <v>2</v>
      </c>
      <c r="C108" s="1" t="n">
        <f aca="false">COUNTIFS(c6raw!B:B, Table6[[#This Row],[ID]], c6raw!E:E, Table6[[#This Row],[function]],  c6raw!F:F, Table6[[#This Row],[bug type]])</f>
        <v>1</v>
      </c>
      <c r="D108" s="1" t="n">
        <v>1</v>
      </c>
      <c r="E108" s="1" t="str">
        <f aca="false">VLOOKUP(Table6[[#This Row],[ID]], riskBugs!A:I, 9, 0)</f>
        <v> https://code4rena.com/reports/2021-12-vader#h-01-vaderpoolv2-minting-synths--fungibles-can-be-frontrun</v>
      </c>
      <c r="F108" s="1" t="s">
        <v>1022</v>
      </c>
      <c r="G108" s="26" t="s">
        <v>420</v>
      </c>
      <c r="H108" s="1" t="s">
        <v>2654</v>
      </c>
      <c r="I108" s="1" t="s">
        <v>2005</v>
      </c>
      <c r="J108" s="1"/>
      <c r="K108" s="1" t="s">
        <v>2855</v>
      </c>
    </row>
    <row r="109" customFormat="false" ht="15" hidden="false" customHeight="false" outlineLevel="0" collapsed="false">
      <c r="A109" s="5" t="n">
        <v>70</v>
      </c>
      <c r="B109" s="5" t="n">
        <v>2</v>
      </c>
      <c r="C109" s="5" t="n">
        <f aca="false">COUNTIFS(c6raw!B:B, Table6[[#This Row],[ID]], c6raw!E:E, Table6[[#This Row],[function]],  c6raw!F:F, Table6[[#This Row],[bug type]])</f>
        <v>1</v>
      </c>
      <c r="D109" s="5" t="n">
        <v>2</v>
      </c>
      <c r="E109" s="5" t="str">
        <f aca="false">VLOOKUP(Table6[[#This Row],[ID]], riskBugs!A:I, 9, 0)</f>
        <v> https://code4rena.com/reports/2021-12-vader#h-01-vaderpoolv2-minting-synths--fungibles-can-be-frontrun</v>
      </c>
      <c r="F109" s="5" t="s">
        <v>2856</v>
      </c>
      <c r="G109" s="26" t="s">
        <v>420</v>
      </c>
      <c r="H109" s="1" t="s">
        <v>2654</v>
      </c>
      <c r="I109" s="1" t="s">
        <v>3048</v>
      </c>
      <c r="J109" s="1"/>
      <c r="K109" s="5" t="s">
        <v>2857</v>
      </c>
    </row>
    <row r="110" customFormat="false" ht="15" hidden="false" customHeight="false" outlineLevel="0" collapsed="false">
      <c r="A110" s="1" t="n">
        <v>71</v>
      </c>
      <c r="B110" s="1" t="n">
        <v>1</v>
      </c>
      <c r="C110" s="1" t="n">
        <f aca="false">COUNTIFS(c6raw!B:B, Table6[[#This Row],[ID]], c6raw!E:E, Table6[[#This Row],[function]],  c6raw!F:F, Table6[[#This Row],[bug type]])</f>
        <v>1</v>
      </c>
      <c r="D110" s="1" t="n">
        <v>1</v>
      </c>
      <c r="E110" s="1" t="str">
        <f aca="false">VLOOKUP(Table6[[#This Row],[ID]], riskBugs!A:I, 9, 0)</f>
        <v> https://code4rena.com/reports/2022-01-insure#h-01-tokens-can-be-burned-with-no-access-control</v>
      </c>
      <c r="F110" s="1" t="s">
        <v>2194</v>
      </c>
      <c r="G110" s="5" t="s">
        <v>2335</v>
      </c>
      <c r="H110" s="1" t="s">
        <v>2649</v>
      </c>
      <c r="I110" s="1" t="s">
        <v>3048</v>
      </c>
      <c r="J110" s="1"/>
      <c r="K110" s="1" t="s">
        <v>2858</v>
      </c>
    </row>
    <row r="111" customFormat="false" ht="15" hidden="false" customHeight="false" outlineLevel="0" collapsed="false">
      <c r="A111" s="5" t="n">
        <v>71</v>
      </c>
      <c r="B111" s="5" t="n">
        <v>1</v>
      </c>
      <c r="C111" s="5" t="n">
        <f aca="false">COUNTIFS(c6raw!B:B, Table6[[#This Row],[ID]], c6raw!E:E, Table6[[#This Row],[function]],  c6raw!F:F, Table6[[#This Row],[bug type]])</f>
        <v>2</v>
      </c>
      <c r="D111" s="5" t="n">
        <v>2</v>
      </c>
      <c r="E111" s="5" t="str">
        <f aca="false">VLOOKUP(Table6[[#This Row],[ID]], riskBugs!A:I, 9, 0)</f>
        <v> https://code4rena.com/reports/2022-01-insure#h-01-tokens-can-be-burned-with-no-access-control</v>
      </c>
      <c r="F111" s="5" t="s">
        <v>2194</v>
      </c>
      <c r="G111" s="5" t="s">
        <v>2335</v>
      </c>
      <c r="H111" s="1" t="s">
        <v>2654</v>
      </c>
      <c r="I111" s="1" t="s">
        <v>2005</v>
      </c>
      <c r="J111" s="1"/>
      <c r="K111" s="5" t="s">
        <v>2859</v>
      </c>
    </row>
    <row r="112" customFormat="false" ht="15" hidden="false" customHeight="false" outlineLevel="0" collapsed="false">
      <c r="A112" s="1" t="n">
        <v>71</v>
      </c>
      <c r="B112" s="1" t="n">
        <v>1</v>
      </c>
      <c r="C112" s="1" t="n">
        <f aca="false">COUNTIFS(c6raw!B:B, Table6[[#This Row],[ID]], c6raw!E:E, Table6[[#This Row],[function]],  c6raw!F:F, Table6[[#This Row],[bug type]])</f>
        <v>2</v>
      </c>
      <c r="D112" s="1" t="n">
        <v>1</v>
      </c>
      <c r="E112" s="1" t="str">
        <f aca="false">VLOOKUP(Table6[[#This Row],[ID]], riskBugs!A:I, 9, 0)</f>
        <v> https://code4rena.com/reports/2022-01-insure#h-01-tokens-can-be-burned-with-no-access-control</v>
      </c>
      <c r="F112" s="1" t="s">
        <v>1592</v>
      </c>
      <c r="G112" s="15" t="s">
        <v>3</v>
      </c>
      <c r="H112" s="1" t="s">
        <v>2649</v>
      </c>
      <c r="I112" s="1" t="s">
        <v>2005</v>
      </c>
      <c r="J112" s="1"/>
      <c r="K112" s="1" t="s">
        <v>2860</v>
      </c>
    </row>
    <row r="113" customFormat="false" ht="15" hidden="false" customHeight="false" outlineLevel="0" collapsed="false">
      <c r="A113" s="5" t="n">
        <v>71</v>
      </c>
      <c r="B113" s="5" t="n">
        <v>1</v>
      </c>
      <c r="C113" s="5" t="n">
        <f aca="false">COUNTIFS(c6raw!B:B, Table6[[#This Row],[ID]], c6raw!E:E, Table6[[#This Row],[function]],  c6raw!F:F, Table6[[#This Row],[bug type]])</f>
        <v>1</v>
      </c>
      <c r="D113" s="5" t="n">
        <v>2</v>
      </c>
      <c r="E113" s="5" t="str">
        <f aca="false">VLOOKUP(Table6[[#This Row],[ID]], riskBugs!A:I, 9, 0)</f>
        <v> https://code4rena.com/reports/2022-01-insure#h-01-tokens-can-be-burned-with-no-access-control</v>
      </c>
      <c r="F113" s="5" t="s">
        <v>2861</v>
      </c>
      <c r="G113" s="15" t="s">
        <v>3</v>
      </c>
      <c r="H113" s="1" t="s">
        <v>2645</v>
      </c>
      <c r="I113" s="1" t="s">
        <v>3044</v>
      </c>
      <c r="J113" s="1"/>
      <c r="K113" s="5" t="s">
        <v>2862</v>
      </c>
    </row>
    <row r="114" customFormat="false" ht="15" hidden="false" customHeight="false" outlineLevel="0" collapsed="false">
      <c r="A114" s="1" t="n">
        <v>71</v>
      </c>
      <c r="B114" s="1" t="n">
        <v>1</v>
      </c>
      <c r="C114" s="1" t="n">
        <f aca="false">COUNTIFS(c6raw!B:B, Table6[[#This Row],[ID]], c6raw!E:E, Table6[[#This Row],[function]],  c6raw!F:F, Table6[[#This Row],[bug type]])</f>
        <v>1</v>
      </c>
      <c r="D114" s="1" t="n">
        <v>3</v>
      </c>
      <c r="E114" s="1" t="str">
        <f aca="false">VLOOKUP(Table6[[#This Row],[ID]], riskBugs!A:I, 9, 0)</f>
        <v> https://code4rena.com/reports/2022-01-insure#h-01-tokens-can-be-burned-with-no-access-control</v>
      </c>
      <c r="F114" s="1" t="s">
        <v>2863</v>
      </c>
      <c r="G114" s="15" t="s">
        <v>3</v>
      </c>
      <c r="H114" s="1" t="s">
        <v>2654</v>
      </c>
      <c r="I114" s="1" t="s">
        <v>3048</v>
      </c>
      <c r="J114" s="1"/>
      <c r="K114" s="1" t="s">
        <v>2864</v>
      </c>
    </row>
    <row r="115" customFormat="false" ht="15" hidden="false" customHeight="false" outlineLevel="0" collapsed="false">
      <c r="A115" s="5" t="n">
        <v>71</v>
      </c>
      <c r="B115" s="5" t="n">
        <v>1</v>
      </c>
      <c r="C115" s="5" t="n">
        <f aca="false">COUNTIFS(c6raw!B:B, Table6[[#This Row],[ID]], c6raw!E:E, Table6[[#This Row],[function]],  c6raw!F:F, Table6[[#This Row],[bug type]])</f>
        <v>1</v>
      </c>
      <c r="D115" s="5" t="n">
        <v>1</v>
      </c>
      <c r="E115" s="5" t="str">
        <f aca="false">VLOOKUP(Table6[[#This Row],[ID]], riskBugs!A:I, 9, 0)</f>
        <v> https://code4rena.com/reports/2022-01-insure#h-01-tokens-can-be-burned-with-no-access-control</v>
      </c>
      <c r="F115" s="5" t="s">
        <v>2865</v>
      </c>
      <c r="G115" s="5" t="s">
        <v>104</v>
      </c>
      <c r="H115" s="1" t="s">
        <v>2654</v>
      </c>
      <c r="I115" s="1" t="s">
        <v>2005</v>
      </c>
      <c r="J115" s="1"/>
      <c r="K115" s="5" t="s">
        <v>2866</v>
      </c>
    </row>
    <row r="116" customFormat="false" ht="15" hidden="false" customHeight="false" outlineLevel="0" collapsed="false">
      <c r="A116" s="1" t="n">
        <v>71</v>
      </c>
      <c r="B116" s="1" t="n">
        <v>1</v>
      </c>
      <c r="C116" s="1" t="n">
        <f aca="false">COUNTIFS(c6raw!B:B, Table6[[#This Row],[ID]], c6raw!E:E, Table6[[#This Row],[function]],  c6raw!F:F, Table6[[#This Row],[bug type]])</f>
        <v>1</v>
      </c>
      <c r="D116" s="1" t="n">
        <v>2</v>
      </c>
      <c r="E116" s="1" t="str">
        <f aca="false">VLOOKUP(Table6[[#This Row],[ID]], riskBugs!A:I, 9, 0)</f>
        <v> https://code4rena.com/reports/2022-01-insure#h-01-tokens-can-be-burned-with-no-access-control</v>
      </c>
      <c r="F116" s="1" t="s">
        <v>2867</v>
      </c>
      <c r="G116" s="5" t="s">
        <v>104</v>
      </c>
      <c r="H116" s="1" t="s">
        <v>2645</v>
      </c>
      <c r="I116" s="1" t="s">
        <v>2005</v>
      </c>
      <c r="J116" s="1"/>
      <c r="K116" s="1" t="s">
        <v>2868</v>
      </c>
    </row>
    <row r="117" customFormat="false" ht="15" hidden="false" customHeight="false" outlineLevel="0" collapsed="false">
      <c r="A117" s="5" t="n">
        <v>71</v>
      </c>
      <c r="B117" s="5" t="n">
        <v>1</v>
      </c>
      <c r="C117" s="5" t="n">
        <f aca="false">COUNTIFS(c6raw!B:B, Table6[[#This Row],[ID]], c6raw!E:E, Table6[[#This Row],[function]],  c6raw!F:F, Table6[[#This Row],[bug type]])</f>
        <v>2</v>
      </c>
      <c r="D117" s="5" t="n">
        <v>3</v>
      </c>
      <c r="E117" s="5" t="str">
        <f aca="false">VLOOKUP(Table6[[#This Row],[ID]], riskBugs!A:I, 9, 0)</f>
        <v> https://code4rena.com/reports/2022-01-insure#h-01-tokens-can-be-burned-with-no-access-control</v>
      </c>
      <c r="F117" s="5" t="s">
        <v>2869</v>
      </c>
      <c r="G117" s="5" t="s">
        <v>104</v>
      </c>
      <c r="H117" s="1" t="s">
        <v>2649</v>
      </c>
      <c r="I117" s="1" t="s">
        <v>3048</v>
      </c>
      <c r="J117" s="1"/>
      <c r="K117" s="5" t="s">
        <v>2870</v>
      </c>
    </row>
    <row r="118" customFormat="false" ht="15" hidden="false" customHeight="false" outlineLevel="0" collapsed="false">
      <c r="A118" s="5" t="n">
        <v>71</v>
      </c>
      <c r="B118" s="5" t="n">
        <v>2</v>
      </c>
      <c r="C118" s="5" t="n">
        <f aca="false">COUNTIFS(c6raw!B:B, Table6[[#This Row],[ID]], c6raw!E:E, Table6[[#This Row],[function]],  c6raw!F:F, Table6[[#This Row],[bug type]])</f>
        <v>1</v>
      </c>
      <c r="D118" s="5" t="n">
        <v>2</v>
      </c>
      <c r="E118" s="5" t="str">
        <f aca="false">VLOOKUP(Table6[[#This Row],[ID]], riskBugs!A:I, 9, 0)</f>
        <v> https://code4rena.com/reports/2022-01-insure#h-01-tokens-can-be-burned-with-no-access-control</v>
      </c>
      <c r="F118" s="5" t="s">
        <v>2873</v>
      </c>
      <c r="G118" s="15" t="s">
        <v>3</v>
      </c>
      <c r="H118" s="1" t="s">
        <v>2645</v>
      </c>
      <c r="I118" s="1" t="s">
        <v>3044</v>
      </c>
      <c r="J118" s="1"/>
      <c r="K118" s="5" t="s">
        <v>2874</v>
      </c>
    </row>
    <row r="119" customFormat="false" ht="15" hidden="false" customHeight="false" outlineLevel="0" collapsed="false">
      <c r="A119" s="1" t="n">
        <v>71</v>
      </c>
      <c r="B119" s="1" t="n">
        <v>2</v>
      </c>
      <c r="C119" s="1" t="n">
        <f aca="false">COUNTIFS(c6raw!B:B, Table6[[#This Row],[ID]], c6raw!E:E, Table6[[#This Row],[function]],  c6raw!F:F, Table6[[#This Row],[bug type]])</f>
        <v>1</v>
      </c>
      <c r="D119" s="1" t="n">
        <v>3</v>
      </c>
      <c r="E119" s="1" t="str">
        <f aca="false">VLOOKUP(Table6[[#This Row],[ID]], riskBugs!A:I, 9, 0)</f>
        <v> https://code4rena.com/reports/2022-01-insure#h-01-tokens-can-be-burned-with-no-access-control</v>
      </c>
      <c r="F119" s="1" t="s">
        <v>2875</v>
      </c>
      <c r="G119" s="15" t="s">
        <v>3</v>
      </c>
      <c r="H119" s="1" t="s">
        <v>2654</v>
      </c>
      <c r="I119" s="1" t="s">
        <v>3052</v>
      </c>
      <c r="J119" s="1"/>
      <c r="K119" s="1" t="s">
        <v>2876</v>
      </c>
    </row>
    <row r="120" customFormat="false" ht="15" hidden="false" customHeight="false" outlineLevel="0" collapsed="false">
      <c r="A120" s="1" t="n">
        <v>71</v>
      </c>
      <c r="B120" s="1" t="n">
        <v>3</v>
      </c>
      <c r="C120" s="1" t="n">
        <f aca="false">COUNTIFS(c6raw!B:B, Table6[[#This Row],[ID]], c6raw!E:E, Table6[[#This Row],[function]],  c6raw!F:F, Table6[[#This Row],[bug type]])</f>
        <v>1</v>
      </c>
      <c r="D120" s="1" t="n">
        <v>1</v>
      </c>
      <c r="E120" s="1" t="str">
        <f aca="false">VLOOKUP(Table6[[#This Row],[ID]], riskBugs!A:I, 9, 0)</f>
        <v> https://code4rena.com/reports/2022-01-insure#h-01-tokens-can-be-burned-with-no-access-control</v>
      </c>
      <c r="F120" s="1" t="s">
        <v>2194</v>
      </c>
      <c r="G120" s="5" t="s">
        <v>2335</v>
      </c>
      <c r="H120" s="1" t="s">
        <v>2645</v>
      </c>
      <c r="I120" s="1" t="s">
        <v>3039</v>
      </c>
      <c r="J120" s="1"/>
      <c r="K120" s="1" t="s">
        <v>2877</v>
      </c>
    </row>
    <row r="121" customFormat="false" ht="15" hidden="false" customHeight="false" outlineLevel="0" collapsed="false">
      <c r="A121" s="5" t="n">
        <v>71</v>
      </c>
      <c r="B121" s="5" t="n">
        <v>3</v>
      </c>
      <c r="C121" s="5" t="n">
        <f aca="false">COUNTIFS(c6raw!B:B, Table6[[#This Row],[ID]], c6raw!E:E, Table6[[#This Row],[function]],  c6raw!F:F, Table6[[#This Row],[bug type]])</f>
        <v>1</v>
      </c>
      <c r="D121" s="5" t="n">
        <v>1</v>
      </c>
      <c r="E121" s="5" t="str">
        <f aca="false">VLOOKUP(Table6[[#This Row],[ID]], riskBugs!A:I, 9, 0)</f>
        <v> https://code4rena.com/reports/2022-01-insure#h-01-tokens-can-be-burned-with-no-access-control</v>
      </c>
      <c r="F121" s="5" t="s">
        <v>1592</v>
      </c>
      <c r="G121" s="15" t="s">
        <v>3</v>
      </c>
      <c r="H121" s="1" t="s">
        <v>2654</v>
      </c>
      <c r="I121" s="1" t="s">
        <v>2005</v>
      </c>
      <c r="J121" s="1"/>
      <c r="K121" s="5" t="s">
        <v>2878</v>
      </c>
    </row>
    <row r="122" customFormat="false" ht="15" hidden="false" customHeight="false" outlineLevel="0" collapsed="false">
      <c r="A122" s="1" t="n">
        <v>71</v>
      </c>
      <c r="B122" s="1" t="n">
        <v>3</v>
      </c>
      <c r="C122" s="1" t="n">
        <f aca="false">COUNTIFS(c6raw!B:B, Table6[[#This Row],[ID]], c6raw!E:E, Table6[[#This Row],[function]],  c6raw!F:F, Table6[[#This Row],[bug type]])</f>
        <v>1</v>
      </c>
      <c r="D122" s="1" t="n">
        <v>2</v>
      </c>
      <c r="E122" s="1" t="str">
        <f aca="false">VLOOKUP(Table6[[#This Row],[ID]], riskBugs!A:I, 9, 0)</f>
        <v> https://code4rena.com/reports/2022-01-insure#h-01-tokens-can-be-burned-with-no-access-control</v>
      </c>
      <c r="F122" s="1" t="s">
        <v>1105</v>
      </c>
      <c r="G122" s="15" t="s">
        <v>3</v>
      </c>
      <c r="H122" s="1" t="s">
        <v>2645</v>
      </c>
      <c r="I122" s="1" t="s">
        <v>2037</v>
      </c>
      <c r="J122" s="1"/>
      <c r="K122" s="1" t="s">
        <v>2879</v>
      </c>
    </row>
    <row r="123" customFormat="false" ht="15" hidden="false" customHeight="false" outlineLevel="0" collapsed="false">
      <c r="A123" s="5" t="n">
        <v>71</v>
      </c>
      <c r="B123" s="5" t="n">
        <v>3</v>
      </c>
      <c r="C123" s="5" t="n">
        <f aca="false">COUNTIFS(c6raw!B:B, Table6[[#This Row],[ID]], c6raw!E:E, Table6[[#This Row],[function]],  c6raw!F:F, Table6[[#This Row],[bug type]])</f>
        <v>1</v>
      </c>
      <c r="D123" s="5" t="n">
        <v>3</v>
      </c>
      <c r="E123" s="5" t="str">
        <f aca="false">VLOOKUP(Table6[[#This Row],[ID]], riskBugs!A:I, 9, 0)</f>
        <v> https://code4rena.com/reports/2022-01-insure#h-01-tokens-can-be-burned-with-no-access-control</v>
      </c>
      <c r="F123" s="5" t="s">
        <v>2863</v>
      </c>
      <c r="G123" s="15" t="s">
        <v>3</v>
      </c>
      <c r="H123" s="1" t="s">
        <v>2649</v>
      </c>
      <c r="I123" s="1" t="s">
        <v>3048</v>
      </c>
      <c r="J123" s="1"/>
      <c r="K123" s="5" t="s">
        <v>2880</v>
      </c>
    </row>
    <row r="124" customFormat="false" ht="15" hidden="false" customHeight="false" outlineLevel="0" collapsed="false">
      <c r="A124" s="1" t="n">
        <v>71</v>
      </c>
      <c r="B124" s="1" t="n">
        <v>3</v>
      </c>
      <c r="C124" s="1" t="n">
        <f aca="false">COUNTIFS(c6raw!B:B, Table6[[#This Row],[ID]], c6raw!E:E, Table6[[#This Row],[function]],  c6raw!F:F, Table6[[#This Row],[bug type]])</f>
        <v>1</v>
      </c>
      <c r="D124" s="1" t="n">
        <v>4</v>
      </c>
      <c r="E124" s="1" t="str">
        <f aca="false">VLOOKUP(Table6[[#This Row],[ID]], riskBugs!A:I, 9, 0)</f>
        <v> https://code4rena.com/reports/2022-01-insure#h-01-tokens-can-be-burned-with-no-access-control</v>
      </c>
      <c r="F124" s="1" t="s">
        <v>2203</v>
      </c>
      <c r="G124" s="15" t="s">
        <v>3</v>
      </c>
      <c r="H124" s="1" t="s">
        <v>2654</v>
      </c>
      <c r="I124" s="1" t="s">
        <v>1129</v>
      </c>
      <c r="J124" s="3" t="s">
        <v>2338</v>
      </c>
      <c r="K124" s="1" t="s">
        <v>2881</v>
      </c>
    </row>
    <row r="125" customFormat="false" ht="15" hidden="false" customHeight="false" outlineLevel="0" collapsed="false">
      <c r="A125" s="5" t="n">
        <v>71</v>
      </c>
      <c r="B125" s="5" t="n">
        <v>3</v>
      </c>
      <c r="C125" s="5" t="n">
        <f aca="false">COUNTIFS(c6raw!B:B, Table6[[#This Row],[ID]], c6raw!E:E, Table6[[#This Row],[function]],  c6raw!F:F, Table6[[#This Row],[bug type]])</f>
        <v>1</v>
      </c>
      <c r="D125" s="5" t="n">
        <v>1</v>
      </c>
      <c r="E125" s="5" t="str">
        <f aca="false">VLOOKUP(Table6[[#This Row],[ID]], riskBugs!A:I, 9, 0)</f>
        <v> https://code4rena.com/reports/2022-01-insure#h-01-tokens-can-be-burned-with-no-access-control</v>
      </c>
      <c r="F125" s="5" t="s">
        <v>2882</v>
      </c>
      <c r="G125" s="5" t="s">
        <v>104</v>
      </c>
      <c r="H125" s="1" t="s">
        <v>2645</v>
      </c>
      <c r="I125" s="1" t="s">
        <v>3052</v>
      </c>
      <c r="J125" s="1"/>
      <c r="K125" s="5" t="s">
        <v>2883</v>
      </c>
    </row>
    <row r="126" customFormat="false" ht="15" hidden="false" customHeight="false" outlineLevel="0" collapsed="false">
      <c r="A126" s="5" t="n">
        <v>77</v>
      </c>
      <c r="B126" s="5" t="n">
        <v>1</v>
      </c>
      <c r="C126" s="5" t="n">
        <f aca="false">COUNTIFS(c6raw!B:B, Table6[[#This Row],[ID]], c6raw!E:E, Table6[[#This Row],[function]],  c6raw!F:F, Table6[[#This Row],[bug type]])</f>
        <v>1</v>
      </c>
      <c r="D126" s="5" t="n">
        <v>1</v>
      </c>
      <c r="E126" s="5" t="str">
        <f aca="false">VLOOKUP(Table6[[#This Row],[ID]], riskBugs!A:I, 9, 0)</f>
        <v> https://code4rena.com/reports/2022-01-elasticswap#h-01-in-the-case-of-single-asset-entry-new-liquidity-providers-will-suffer-fund-loss-due-to-wrong-formula-of-%CE%B4ro</v>
      </c>
      <c r="F126" s="5" t="s">
        <v>1228</v>
      </c>
      <c r="G126" s="5" t="s">
        <v>669</v>
      </c>
      <c r="H126" s="1" t="s">
        <v>2654</v>
      </c>
      <c r="I126" s="1" t="s">
        <v>2033</v>
      </c>
      <c r="J126" s="1"/>
      <c r="K126" s="5" t="s">
        <v>2886</v>
      </c>
    </row>
    <row r="127" customFormat="false" ht="15" hidden="false" customHeight="false" outlineLevel="0" collapsed="false">
      <c r="A127" s="1" t="n">
        <v>77</v>
      </c>
      <c r="B127" s="1" t="n">
        <v>1</v>
      </c>
      <c r="C127" s="1" t="n">
        <f aca="false">COUNTIFS(c6raw!B:B, Table6[[#This Row],[ID]], c6raw!E:E, Table6[[#This Row],[function]],  c6raw!F:F, Table6[[#This Row],[bug type]])</f>
        <v>1</v>
      </c>
      <c r="D127" s="1" t="n">
        <v>2</v>
      </c>
      <c r="E127" s="1" t="str">
        <f aca="false">VLOOKUP(Table6[[#This Row],[ID]], riskBugs!A:I, 9, 0)</f>
        <v> https://code4rena.com/reports/2022-01-elasticswap#h-01-in-the-case-of-single-asset-entry-new-liquidity-providers-will-suffer-fund-loss-due-to-wrong-formula-of-%CE%B4ro</v>
      </c>
      <c r="F127" s="1" t="s">
        <v>2887</v>
      </c>
      <c r="G127" s="5" t="s">
        <v>669</v>
      </c>
      <c r="H127" s="1" t="s">
        <v>2649</v>
      </c>
      <c r="I127" s="1" t="s">
        <v>2033</v>
      </c>
      <c r="J127" s="1"/>
      <c r="K127" s="1" t="s">
        <v>2888</v>
      </c>
    </row>
    <row r="128" customFormat="false" ht="15" hidden="false" customHeight="false" outlineLevel="0" collapsed="false">
      <c r="A128" s="5" t="n">
        <v>77</v>
      </c>
      <c r="B128" s="5" t="n">
        <v>1</v>
      </c>
      <c r="C128" s="5" t="n">
        <f aca="false">COUNTIFS(c6raw!B:B, Table6[[#This Row],[ID]], c6raw!E:E, Table6[[#This Row],[function]],  c6raw!F:F, Table6[[#This Row],[bug type]])</f>
        <v>1</v>
      </c>
      <c r="D128" s="5" t="n">
        <v>3</v>
      </c>
      <c r="E128" s="5" t="str">
        <f aca="false">VLOOKUP(Table6[[#This Row],[ID]], riskBugs!A:I, 9, 0)</f>
        <v> https://code4rena.com/reports/2022-01-elasticswap#h-01-in-the-case-of-single-asset-entry-new-liquidity-providers-will-suffer-fund-loss-due-to-wrong-formula-of-%CE%B4ro</v>
      </c>
      <c r="F128" s="5" t="s">
        <v>2889</v>
      </c>
      <c r="G128" s="5" t="s">
        <v>669</v>
      </c>
      <c r="H128" s="1" t="s">
        <v>2649</v>
      </c>
      <c r="I128" s="1" t="s">
        <v>2033</v>
      </c>
      <c r="J128" s="1"/>
      <c r="K128" s="5" t="s">
        <v>2890</v>
      </c>
    </row>
    <row r="129" customFormat="false" ht="15" hidden="false" customHeight="false" outlineLevel="0" collapsed="false">
      <c r="A129" s="5" t="n">
        <v>77</v>
      </c>
      <c r="B129" s="5" t="n">
        <v>2</v>
      </c>
      <c r="C129" s="5" t="n">
        <f aca="false">COUNTIFS(c6raw!B:B, Table6[[#This Row],[ID]], c6raw!E:E, Table6[[#This Row],[function]],  c6raw!F:F, Table6[[#This Row],[bug type]])</f>
        <v>1</v>
      </c>
      <c r="D129" s="5" t="n">
        <v>1</v>
      </c>
      <c r="E129" s="5" t="str">
        <f aca="false">VLOOKUP(Table6[[#This Row],[ID]], riskBugs!A:I, 9, 0)</f>
        <v> https://code4rena.com/reports/2022-01-elasticswap#h-01-in-the-case-of-single-asset-entry-new-liquidity-providers-will-suffer-fund-loss-due-to-wrong-formula-of-%CE%B4ro</v>
      </c>
      <c r="F129" s="5" t="s">
        <v>2887</v>
      </c>
      <c r="G129" s="5" t="s">
        <v>669</v>
      </c>
      <c r="H129" s="1" t="s">
        <v>2645</v>
      </c>
      <c r="I129" s="1" t="s">
        <v>3053</v>
      </c>
      <c r="J129" s="1"/>
      <c r="K129" s="5" t="s">
        <v>2891</v>
      </c>
    </row>
    <row r="130" customFormat="false" ht="15" hidden="false" customHeight="false" outlineLevel="0" collapsed="false">
      <c r="A130" s="1" t="n">
        <v>77</v>
      </c>
      <c r="B130" s="1" t="n">
        <v>2</v>
      </c>
      <c r="C130" s="1" t="n">
        <f aca="false">COUNTIFS(c6raw!B:B, Table6[[#This Row],[ID]], c6raw!E:E, Table6[[#This Row],[function]],  c6raw!F:F, Table6[[#This Row],[bug type]])</f>
        <v>1</v>
      </c>
      <c r="D130" s="1" t="n">
        <v>2</v>
      </c>
      <c r="E130" s="1" t="str">
        <f aca="false">VLOOKUP(Table6[[#This Row],[ID]], riskBugs!A:I, 9, 0)</f>
        <v> https://code4rena.com/reports/2022-01-elasticswap#h-01-in-the-case-of-single-asset-entry-new-liquidity-providers-will-suffer-fund-loss-due-to-wrong-formula-of-%CE%B4ro</v>
      </c>
      <c r="F130" s="1" t="s">
        <v>2889</v>
      </c>
      <c r="G130" s="5" t="s">
        <v>669</v>
      </c>
      <c r="H130" s="1" t="s">
        <v>2645</v>
      </c>
      <c r="I130" s="1" t="s">
        <v>3053</v>
      </c>
      <c r="J130" s="1"/>
      <c r="K130" s="1" t="s">
        <v>2892</v>
      </c>
    </row>
    <row r="131" customFormat="false" ht="15" hidden="false" customHeight="false" outlineLevel="0" collapsed="false">
      <c r="A131" s="1" t="n">
        <v>78</v>
      </c>
      <c r="B131" s="1" t="n">
        <v>1</v>
      </c>
      <c r="C131" s="1" t="n">
        <f aca="false">COUNTIFS(c6raw!B:B, Table6[[#This Row],[ID]], c6raw!E:E, Table6[[#This Row],[function]],  c6raw!F:F, Table6[[#This Row],[bug type]])</f>
        <v>1</v>
      </c>
      <c r="D131" s="1" t="n">
        <v>1</v>
      </c>
      <c r="E131" s="1" t="str">
        <f aca="false">VLOOKUP(Table6[[#This Row],[ID]], riskBugs!A:I, 9, 0)</f>
        <v> https://code4rena.com/reports/2022-01-behodler#h-01-lack-of-access-control-on-assertgovernanceapproved-can-cause-funds-to-be-locked</v>
      </c>
      <c r="F131" s="1" t="s">
        <v>2559</v>
      </c>
      <c r="G131" s="1" t="s">
        <v>672</v>
      </c>
      <c r="H131" s="1" t="s">
        <v>2649</v>
      </c>
      <c r="I131" s="1" t="s">
        <v>3054</v>
      </c>
      <c r="J131" s="1"/>
      <c r="K131" s="1" t="s">
        <v>2893</v>
      </c>
    </row>
    <row r="132" customFormat="false" ht="15" hidden="false" customHeight="false" outlineLevel="0" collapsed="false">
      <c r="A132" s="5" t="n">
        <v>78</v>
      </c>
      <c r="B132" s="5" t="n">
        <v>1</v>
      </c>
      <c r="C132" s="5" t="n">
        <f aca="false">COUNTIFS(c6raw!B:B, Table6[[#This Row],[ID]], c6raw!E:E, Table6[[#This Row],[function]],  c6raw!F:F, Table6[[#This Row],[bug type]])</f>
        <v>1</v>
      </c>
      <c r="D132" s="5" t="n">
        <v>2</v>
      </c>
      <c r="E132" s="5" t="str">
        <f aca="false">VLOOKUP(Table6[[#This Row],[ID]], riskBugs!A:I, 9, 0)</f>
        <v> https://code4rena.com/reports/2022-01-behodler#h-01-lack-of-access-control-on-assertgovernanceapproved-can-cause-funds-to-be-locked</v>
      </c>
      <c r="F132" s="5" t="s">
        <v>2227</v>
      </c>
      <c r="G132" s="5" t="s">
        <v>672</v>
      </c>
      <c r="H132" s="1" t="s">
        <v>2645</v>
      </c>
      <c r="I132" s="1" t="s">
        <v>3055</v>
      </c>
      <c r="J132" s="1"/>
      <c r="K132" s="5" t="s">
        <v>2894</v>
      </c>
    </row>
    <row r="133" customFormat="false" ht="15" hidden="false" customHeight="false" outlineLevel="0" collapsed="false">
      <c r="A133" s="1" t="n">
        <v>78</v>
      </c>
      <c r="B133" s="1" t="n">
        <v>1</v>
      </c>
      <c r="C133" s="1" t="n">
        <f aca="false">COUNTIFS(c6raw!B:B, Table6[[#This Row],[ID]], c6raw!E:E, Table6[[#This Row],[function]],  c6raw!F:F, Table6[[#This Row],[bug type]])</f>
        <v>1</v>
      </c>
      <c r="D133" s="1" t="n">
        <v>3</v>
      </c>
      <c r="E133" s="1" t="str">
        <f aca="false">VLOOKUP(Table6[[#This Row],[ID]], riskBugs!A:I, 9, 0)</f>
        <v> https://code4rena.com/reports/2022-01-behodler#h-01-lack-of-access-control-on-assertgovernanceapproved-can-cause-funds-to-be-locked</v>
      </c>
      <c r="F133" s="1" t="s">
        <v>2895</v>
      </c>
      <c r="G133" s="1" t="s">
        <v>672</v>
      </c>
      <c r="H133" s="1" t="s">
        <v>2654</v>
      </c>
      <c r="I133" s="1" t="s">
        <v>2033</v>
      </c>
      <c r="J133" s="1"/>
      <c r="K133" s="1" t="s">
        <v>2896</v>
      </c>
    </row>
    <row r="134" customFormat="false" ht="15" hidden="false" customHeight="false" outlineLevel="0" collapsed="false">
      <c r="A134" s="5" t="n">
        <v>78</v>
      </c>
      <c r="B134" s="5" t="n">
        <v>1</v>
      </c>
      <c r="C134" s="5" t="n">
        <f aca="false">COUNTIFS(c6raw!B:B, Table6[[#This Row],[ID]], c6raw!E:E, Table6[[#This Row],[function]],  c6raw!F:F, Table6[[#This Row],[bug type]])</f>
        <v>3</v>
      </c>
      <c r="D134" s="5" t="n">
        <v>4</v>
      </c>
      <c r="E134" s="5" t="str">
        <f aca="false">VLOOKUP(Table6[[#This Row],[ID]], riskBugs!A:I, 9, 0)</f>
        <v> https://code4rena.com/reports/2022-01-behodler#h-01-lack-of-access-control-on-assertgovernanceapproved-can-cause-funds-to-be-locked</v>
      </c>
      <c r="F134" s="5" t="s">
        <v>2227</v>
      </c>
      <c r="G134" s="5" t="s">
        <v>672</v>
      </c>
      <c r="H134" s="1" t="s">
        <v>2649</v>
      </c>
      <c r="I134" s="1" t="s">
        <v>2033</v>
      </c>
      <c r="J134" s="1"/>
      <c r="K134" s="5" t="s">
        <v>2897</v>
      </c>
    </row>
    <row r="135" customFormat="false" ht="15" hidden="false" customHeight="false" outlineLevel="0" collapsed="false">
      <c r="A135" s="1" t="n">
        <v>78</v>
      </c>
      <c r="B135" s="1" t="n">
        <v>1</v>
      </c>
      <c r="C135" s="1" t="n">
        <f aca="false">COUNTIFS(c6raw!B:B, Table6[[#This Row],[ID]], c6raw!E:E, Table6[[#This Row],[function]],  c6raw!F:F, Table6[[#This Row],[bug type]])</f>
        <v>1</v>
      </c>
      <c r="D135" s="1" t="n">
        <v>5</v>
      </c>
      <c r="E135" s="1" t="str">
        <f aca="false">VLOOKUP(Table6[[#This Row],[ID]], riskBugs!A:I, 9, 0)</f>
        <v> https://code4rena.com/reports/2022-01-behodler#h-01-lack-of-access-control-on-assertgovernanceapproved-can-cause-funds-to-be-locked</v>
      </c>
      <c r="F135" s="1" t="s">
        <v>2225</v>
      </c>
      <c r="G135" s="1" t="s">
        <v>672</v>
      </c>
      <c r="H135" s="1" t="s">
        <v>2654</v>
      </c>
      <c r="I135" s="1" t="s">
        <v>2033</v>
      </c>
      <c r="J135" s="1"/>
      <c r="K135" s="1" t="s">
        <v>2898</v>
      </c>
    </row>
    <row r="136" customFormat="false" ht="15" hidden="false" customHeight="false" outlineLevel="0" collapsed="false">
      <c r="A136" s="5" t="n">
        <v>78</v>
      </c>
      <c r="B136" s="5" t="n">
        <v>3</v>
      </c>
      <c r="C136" s="5" t="n">
        <f aca="false">COUNTIFS(c6raw!B:B, Table6[[#This Row],[ID]], c6raw!E:E, Table6[[#This Row],[function]],  c6raw!F:F, Table6[[#This Row],[bug type]])</f>
        <v>1</v>
      </c>
      <c r="D136" s="5" t="n">
        <v>2</v>
      </c>
      <c r="E136" s="5" t="str">
        <f aca="false">VLOOKUP(Table6[[#This Row],[ID]], riskBugs!A:I, 9, 0)</f>
        <v> https://code4rena.com/reports/2022-01-behodler#h-01-lack-of-access-control-on-assertgovernanceapproved-can-cause-funds-to-be-locked</v>
      </c>
      <c r="F136" s="5" t="s">
        <v>2557</v>
      </c>
      <c r="G136" s="5" t="s">
        <v>672</v>
      </c>
      <c r="H136" s="1" t="s">
        <v>2645</v>
      </c>
      <c r="I136" s="1" t="s">
        <v>2033</v>
      </c>
      <c r="J136" s="1"/>
      <c r="K136" s="5" t="s">
        <v>2901</v>
      </c>
    </row>
    <row r="137" customFormat="false" ht="15" hidden="false" customHeight="false" outlineLevel="0" collapsed="false">
      <c r="A137" s="1" t="n">
        <v>78</v>
      </c>
      <c r="B137" s="1" t="n">
        <v>3</v>
      </c>
      <c r="C137" s="1" t="n">
        <f aca="false">COUNTIFS(c6raw!B:B, Table6[[#This Row],[ID]], c6raw!E:E, Table6[[#This Row],[function]],  c6raw!F:F, Table6[[#This Row],[bug type]])</f>
        <v>1</v>
      </c>
      <c r="D137" s="1" t="n">
        <v>3</v>
      </c>
      <c r="E137" s="1" t="str">
        <f aca="false">VLOOKUP(Table6[[#This Row],[ID]], riskBugs!A:I, 9, 0)</f>
        <v> https://code4rena.com/reports/2022-01-behodler#h-01-lack-of-access-control-on-assertgovernanceapproved-can-cause-funds-to-be-locked</v>
      </c>
      <c r="F137" s="1" t="s">
        <v>2902</v>
      </c>
      <c r="G137" s="1" t="s">
        <v>672</v>
      </c>
      <c r="H137" s="1" t="s">
        <v>2654</v>
      </c>
      <c r="I137" s="1" t="s">
        <v>2033</v>
      </c>
      <c r="J137" s="1"/>
      <c r="K137" s="1" t="s">
        <v>2903</v>
      </c>
    </row>
    <row r="138" customFormat="false" ht="15" hidden="false" customHeight="false" outlineLevel="0" collapsed="false">
      <c r="A138" s="5" t="n">
        <v>78</v>
      </c>
      <c r="B138" s="5" t="n">
        <v>3</v>
      </c>
      <c r="C138" s="5" t="n">
        <f aca="false">COUNTIFS(c6raw!B:B, Table6[[#This Row],[ID]], c6raw!E:E, Table6[[#This Row],[function]],  c6raw!F:F, Table6[[#This Row],[bug type]])</f>
        <v>1</v>
      </c>
      <c r="D138" s="5" t="n">
        <v>4</v>
      </c>
      <c r="E138" s="5" t="str">
        <f aca="false">VLOOKUP(Table6[[#This Row],[ID]], riskBugs!A:I, 9, 0)</f>
        <v> https://code4rena.com/reports/2022-01-behodler#h-01-lack-of-access-control-on-assertgovernanceapproved-can-cause-funds-to-be-locked</v>
      </c>
      <c r="F138" s="5" t="s">
        <v>2225</v>
      </c>
      <c r="G138" s="5" t="s">
        <v>672</v>
      </c>
      <c r="H138" s="1" t="s">
        <v>2649</v>
      </c>
      <c r="I138" s="1" t="s">
        <v>3056</v>
      </c>
      <c r="J138" s="1"/>
      <c r="K138" s="5" t="s">
        <v>2904</v>
      </c>
    </row>
    <row r="139" customFormat="false" ht="15" hidden="false" customHeight="false" outlineLevel="0" collapsed="false">
      <c r="A139" s="1" t="n">
        <v>80</v>
      </c>
      <c r="B139" s="1" t="n">
        <v>1</v>
      </c>
      <c r="C139" s="1" t="n">
        <f aca="false">COUNTIFS(c6raw!B:B, Table6[[#This Row],[ID]], c6raw!E:E, Table6[[#This Row],[function]],  c6raw!F:F, Table6[[#This Row],[bug type]])</f>
        <v>1</v>
      </c>
      <c r="D139" s="1" t="n">
        <v>1</v>
      </c>
      <c r="E139" s="1" t="str">
        <f aca="false">VLOOKUP(Table6[[#This Row],[ID]], riskBugs!A:I, 9, 0)</f>
        <v> https://code4rena.com/reports/2022-01-yield#h-01-malicious-users-can-duplicate-protocol-earned-yield-by-transferring-wcvx-tokens-to-another-account</v>
      </c>
      <c r="F139" s="1" t="s">
        <v>2906</v>
      </c>
      <c r="G139" s="21" t="s">
        <v>694</v>
      </c>
      <c r="H139" s="5" t="s">
        <v>1557</v>
      </c>
      <c r="I139" s="5" t="s">
        <v>2051</v>
      </c>
      <c r="J139" s="5"/>
      <c r="K139" s="1" t="s">
        <v>2907</v>
      </c>
    </row>
    <row r="140" customFormat="false" ht="15" hidden="false" customHeight="false" outlineLevel="0" collapsed="false">
      <c r="A140" s="5" t="n">
        <v>80</v>
      </c>
      <c r="B140" s="5" t="n">
        <v>1</v>
      </c>
      <c r="C140" s="5" t="n">
        <f aca="false">COUNTIFS(c6raw!B:B, Table6[[#This Row],[ID]], c6raw!E:E, Table6[[#This Row],[function]],  c6raw!F:F, Table6[[#This Row],[bug type]])</f>
        <v>1</v>
      </c>
      <c r="D140" s="5" t="n">
        <v>2</v>
      </c>
      <c r="E140" s="5" t="str">
        <f aca="false">VLOOKUP(Table6[[#This Row],[ID]], riskBugs!A:I, 9, 0)</f>
        <v> https://code4rena.com/reports/2022-01-yield#h-01-malicious-users-can-duplicate-protocol-earned-yield-by-transferring-wcvx-tokens-to-another-account</v>
      </c>
      <c r="F140" s="5" t="s">
        <v>2908</v>
      </c>
      <c r="G140" s="5" t="s">
        <v>697</v>
      </c>
      <c r="H140" s="1" t="s">
        <v>2654</v>
      </c>
      <c r="I140" s="1" t="s">
        <v>2033</v>
      </c>
      <c r="J140" s="1"/>
      <c r="K140" s="5" t="s">
        <v>2909</v>
      </c>
    </row>
    <row r="141" customFormat="false" ht="15" hidden="false" customHeight="false" outlineLevel="0" collapsed="false">
      <c r="A141" s="1" t="n">
        <v>80</v>
      </c>
      <c r="B141" s="1" t="n">
        <v>1</v>
      </c>
      <c r="C141" s="1" t="n">
        <f aca="false">COUNTIFS(c6raw!B:B, Table6[[#This Row],[ID]], c6raw!E:E, Table6[[#This Row],[function]],  c6raw!F:F, Table6[[#This Row],[bug type]])</f>
        <v>1</v>
      </c>
      <c r="D141" s="1" t="n">
        <v>3</v>
      </c>
      <c r="E141" s="1" t="str">
        <f aca="false">VLOOKUP(Table6[[#This Row],[ID]], riskBugs!A:I, 9, 0)</f>
        <v> https://code4rena.com/reports/2022-01-yield#h-01-malicious-users-can-duplicate-protocol-earned-yield-by-transferring-wcvx-tokens-to-another-account</v>
      </c>
      <c r="F141" s="1" t="s">
        <v>2910</v>
      </c>
      <c r="G141" s="21" t="s">
        <v>694</v>
      </c>
      <c r="H141" s="1" t="s">
        <v>2649</v>
      </c>
      <c r="I141" s="1" t="s">
        <v>2005</v>
      </c>
      <c r="J141" s="1"/>
      <c r="K141" s="1" t="s">
        <v>2911</v>
      </c>
    </row>
    <row r="142" customFormat="false" ht="15" hidden="false" customHeight="false" outlineLevel="0" collapsed="false">
      <c r="A142" s="5" t="n">
        <v>80</v>
      </c>
      <c r="B142" s="5" t="n">
        <v>1</v>
      </c>
      <c r="C142" s="5" t="n">
        <f aca="false">COUNTIFS(c6raw!B:B, Table6[[#This Row],[ID]], c6raw!E:E, Table6[[#This Row],[function]],  c6raw!F:F, Table6[[#This Row],[bug type]])</f>
        <v>1</v>
      </c>
      <c r="D142" s="5" t="n">
        <v>4</v>
      </c>
      <c r="E142" s="5" t="str">
        <f aca="false">VLOOKUP(Table6[[#This Row],[ID]], riskBugs!A:I, 9, 0)</f>
        <v> https://code4rena.com/reports/2022-01-yield#h-01-malicious-users-can-duplicate-protocol-earned-yield-by-transferring-wcvx-tokens-to-another-account</v>
      </c>
      <c r="F142" s="5" t="s">
        <v>2237</v>
      </c>
      <c r="G142" s="5" t="s">
        <v>697</v>
      </c>
      <c r="H142" s="1" t="s">
        <v>2654</v>
      </c>
      <c r="I142" s="1" t="s">
        <v>2033</v>
      </c>
      <c r="J142" s="1"/>
      <c r="K142" s="5" t="s">
        <v>2912</v>
      </c>
    </row>
    <row r="143" customFormat="false" ht="15" hidden="false" customHeight="false" outlineLevel="0" collapsed="false">
      <c r="A143" s="1" t="n">
        <v>80</v>
      </c>
      <c r="B143" s="1" t="n">
        <v>1</v>
      </c>
      <c r="C143" s="1" t="n">
        <f aca="false">COUNTIFS(c6raw!B:B, Table6[[#This Row],[ID]], c6raw!E:E, Table6[[#This Row],[function]],  c6raw!F:F, Table6[[#This Row],[bug type]])</f>
        <v>1</v>
      </c>
      <c r="D143" s="1" t="n">
        <v>1</v>
      </c>
      <c r="E143" s="1" t="str">
        <f aca="false">VLOOKUP(Table6[[#This Row],[ID]], riskBugs!A:I, 9, 0)</f>
        <v> https://code4rena.com/reports/2022-01-yield#h-01-malicious-users-can-duplicate-protocol-earned-yield-by-transferring-wcvx-tokens-to-another-account</v>
      </c>
      <c r="F143" s="1" t="s">
        <v>2913</v>
      </c>
      <c r="G143" s="21" t="s">
        <v>694</v>
      </c>
      <c r="H143" s="1" t="s">
        <v>2649</v>
      </c>
      <c r="I143" s="1" t="s">
        <v>2626</v>
      </c>
      <c r="J143" s="1"/>
      <c r="K143" s="1" t="s">
        <v>2914</v>
      </c>
    </row>
    <row r="144" customFormat="false" ht="15" hidden="false" customHeight="false" outlineLevel="0" collapsed="false">
      <c r="A144" s="5" t="n">
        <v>80</v>
      </c>
      <c r="B144" s="5" t="n">
        <v>1</v>
      </c>
      <c r="C144" s="5" t="n">
        <f aca="false">COUNTIFS(c6raw!B:B, Table6[[#This Row],[ID]], c6raw!E:E, Table6[[#This Row],[function]],  c6raw!F:F, Table6[[#This Row],[bug type]])</f>
        <v>1</v>
      </c>
      <c r="D144" s="5" t="n">
        <v>2</v>
      </c>
      <c r="E144" s="5" t="str">
        <f aca="false">VLOOKUP(Table6[[#This Row],[ID]], riskBugs!A:I, 9, 0)</f>
        <v> https://code4rena.com/reports/2022-01-yield#h-01-malicious-users-can-duplicate-protocol-earned-yield-by-transferring-wcvx-tokens-to-another-account</v>
      </c>
      <c r="F144" s="5" t="s">
        <v>2590</v>
      </c>
      <c r="G144" s="5" t="s">
        <v>697</v>
      </c>
      <c r="H144" s="1" t="s">
        <v>2654</v>
      </c>
      <c r="I144" s="1" t="s">
        <v>3056</v>
      </c>
      <c r="J144" s="1"/>
      <c r="K144" s="5" t="s">
        <v>2915</v>
      </c>
    </row>
    <row r="145" customFormat="false" ht="15" hidden="false" customHeight="false" outlineLevel="0" collapsed="false">
      <c r="A145" s="1" t="n">
        <v>83</v>
      </c>
      <c r="B145" s="1" t="n">
        <v>1</v>
      </c>
      <c r="C145" s="1" t="n">
        <f aca="false">COUNTIFS(c6raw!B:B, Table6[[#This Row],[ID]], c6raw!E:E, Table6[[#This Row],[function]],  c6raw!F:F, Table6[[#This Row],[bug type]])</f>
        <v>1</v>
      </c>
      <c r="D145" s="1" t="n">
        <v>2</v>
      </c>
      <c r="E145" s="1" t="str">
        <f aca="false">VLOOKUP(Table6[[#This Row],[ID]], riskBugs!A:I, 9, 0)</f>
        <v> https://code4rena.com/reports/2022-02-concur#h-01-wrong-reward-token-calculation-in-masterchef-contract</v>
      </c>
      <c r="F145" s="1" t="s">
        <v>2916</v>
      </c>
      <c r="G145" s="1" t="s">
        <v>711</v>
      </c>
      <c r="H145" s="1" t="s">
        <v>2649</v>
      </c>
      <c r="I145" s="1" t="s">
        <v>3057</v>
      </c>
      <c r="J145" s="1"/>
      <c r="K145" s="1" t="s">
        <v>2917</v>
      </c>
    </row>
    <row r="146" customFormat="false" ht="15" hidden="false" customHeight="false" outlineLevel="0" collapsed="false">
      <c r="A146" s="5" t="n">
        <v>83</v>
      </c>
      <c r="B146" s="5" t="n">
        <v>1</v>
      </c>
      <c r="C146" s="5" t="n">
        <f aca="false">COUNTIFS(c6raw!B:B, Table6[[#This Row],[ID]], c6raw!E:E, Table6[[#This Row],[function]],  c6raw!F:F, Table6[[#This Row],[bug type]])</f>
        <v>2</v>
      </c>
      <c r="D146" s="5" t="n">
        <v>3</v>
      </c>
      <c r="E146" s="5" t="str">
        <f aca="false">VLOOKUP(Table6[[#This Row],[ID]], riskBugs!A:I, 9, 0)</f>
        <v> https://code4rena.com/reports/2022-02-concur#h-01-wrong-reward-token-calculation-in-masterchef-contract</v>
      </c>
      <c r="F146" s="5" t="s">
        <v>2918</v>
      </c>
      <c r="G146" s="5" t="s">
        <v>711</v>
      </c>
      <c r="H146" s="1" t="s">
        <v>2649</v>
      </c>
      <c r="I146" s="1" t="s">
        <v>2001</v>
      </c>
      <c r="J146" s="1"/>
      <c r="K146" s="5" t="s">
        <v>2919</v>
      </c>
    </row>
    <row r="147" customFormat="false" ht="15" hidden="false" customHeight="false" outlineLevel="0" collapsed="false">
      <c r="A147" s="5" t="n">
        <v>83</v>
      </c>
      <c r="B147" s="5" t="n">
        <v>2</v>
      </c>
      <c r="C147" s="5" t="n">
        <f aca="false">COUNTIFS(c6raw!B:B, Table6[[#This Row],[ID]], c6raw!E:E, Table6[[#This Row],[function]],  c6raw!F:F, Table6[[#This Row],[bug type]])</f>
        <v>1</v>
      </c>
      <c r="D147" s="5" t="n">
        <v>1</v>
      </c>
      <c r="E147" s="5" t="str">
        <f aca="false">VLOOKUP(Table6[[#This Row],[ID]], riskBugs!A:I, 9, 0)</f>
        <v> https://code4rena.com/reports/2022-02-concur#h-01-wrong-reward-token-calculation-in-masterchef-contract</v>
      </c>
      <c r="F147" s="5" t="s">
        <v>1107</v>
      </c>
      <c r="G147" s="5" t="s">
        <v>711</v>
      </c>
      <c r="H147" s="1" t="s">
        <v>2645</v>
      </c>
      <c r="I147" s="1" t="s">
        <v>3055</v>
      </c>
      <c r="J147" s="1"/>
      <c r="K147" s="5" t="s">
        <v>2920</v>
      </c>
    </row>
    <row r="148" customFormat="false" ht="15" hidden="false" customHeight="false" outlineLevel="0" collapsed="false">
      <c r="A148" s="1" t="n">
        <v>83</v>
      </c>
      <c r="B148" s="1" t="n">
        <v>2</v>
      </c>
      <c r="C148" s="1" t="n">
        <f aca="false">COUNTIFS(c6raw!B:B, Table6[[#This Row],[ID]], c6raw!E:E, Table6[[#This Row],[function]],  c6raw!F:F, Table6[[#This Row],[bug type]])</f>
        <v>1</v>
      </c>
      <c r="D148" s="1" t="n">
        <v>2</v>
      </c>
      <c r="E148" s="1" t="str">
        <f aca="false">VLOOKUP(Table6[[#This Row],[ID]], riskBugs!A:I, 9, 0)</f>
        <v> https://code4rena.com/reports/2022-02-concur#h-01-wrong-reward-token-calculation-in-masterchef-contract</v>
      </c>
      <c r="F148" s="1" t="s">
        <v>1107</v>
      </c>
      <c r="G148" s="1" t="s">
        <v>711</v>
      </c>
      <c r="H148" s="1" t="s">
        <v>2649</v>
      </c>
      <c r="I148" s="1" t="s">
        <v>2005</v>
      </c>
      <c r="J148" s="1"/>
      <c r="K148" s="1" t="s">
        <v>2921</v>
      </c>
    </row>
    <row r="149" customFormat="false" ht="15" hidden="false" customHeight="false" outlineLevel="0" collapsed="false">
      <c r="A149" s="5" t="n">
        <v>83</v>
      </c>
      <c r="B149" s="5" t="n">
        <v>2</v>
      </c>
      <c r="C149" s="5" t="n">
        <f aca="false">COUNTIFS(c6raw!B:B, Table6[[#This Row],[ID]], c6raw!E:E, Table6[[#This Row],[function]],  c6raw!F:F, Table6[[#This Row],[bug type]])</f>
        <v>1</v>
      </c>
      <c r="D149" s="5" t="n">
        <v>3</v>
      </c>
      <c r="E149" s="5" t="str">
        <f aca="false">VLOOKUP(Table6[[#This Row],[ID]], riskBugs!A:I, 9, 0)</f>
        <v> https://code4rena.com/reports/2022-02-concur#h-01-wrong-reward-token-calculation-in-masterchef-contract</v>
      </c>
      <c r="F149" s="5" t="s">
        <v>2922</v>
      </c>
      <c r="G149" s="5" t="s">
        <v>711</v>
      </c>
      <c r="H149" s="1" t="s">
        <v>2654</v>
      </c>
      <c r="I149" s="1" t="s">
        <v>2005</v>
      </c>
      <c r="J149" s="1"/>
      <c r="K149" s="5" t="s">
        <v>2923</v>
      </c>
    </row>
    <row r="150" customFormat="false" ht="15" hidden="false" customHeight="false" outlineLevel="0" collapsed="false">
      <c r="A150" s="1" t="n">
        <v>83</v>
      </c>
      <c r="B150" s="1" t="n">
        <v>2</v>
      </c>
      <c r="C150" s="1" t="n">
        <f aca="false">COUNTIFS(c6raw!B:B, Table6[[#This Row],[ID]], c6raw!E:E, Table6[[#This Row],[function]],  c6raw!F:F, Table6[[#This Row],[bug type]])</f>
        <v>2</v>
      </c>
      <c r="D150" s="1" t="n">
        <v>4</v>
      </c>
      <c r="E150" s="1" t="str">
        <f aca="false">VLOOKUP(Table6[[#This Row],[ID]], riskBugs!A:I, 9, 0)</f>
        <v> https://code4rena.com/reports/2022-02-concur#h-01-wrong-reward-token-calculation-in-masterchef-contract</v>
      </c>
      <c r="F150" s="1" t="s">
        <v>2916</v>
      </c>
      <c r="G150" s="1" t="s">
        <v>711</v>
      </c>
      <c r="H150" s="1" t="s">
        <v>2654</v>
      </c>
      <c r="I150" s="1" t="s">
        <v>2049</v>
      </c>
      <c r="J150" s="1"/>
      <c r="K150" s="1" t="s">
        <v>2924</v>
      </c>
    </row>
    <row r="151" customFormat="false" ht="15" hidden="false" customHeight="false" outlineLevel="0" collapsed="false">
      <c r="A151" s="1" t="n">
        <v>90</v>
      </c>
      <c r="B151" s="1" t="n">
        <v>1</v>
      </c>
      <c r="C151" s="1" t="n">
        <f aca="false">COUNTIFS(c6raw!B:B, Table6[[#This Row],[ID]], c6raw!E:E, Table6[[#This Row],[function]],  c6raw!F:F, Table6[[#This Row],[bug type]])</f>
        <v>3</v>
      </c>
      <c r="D151" s="1" t="n">
        <v>1</v>
      </c>
      <c r="E151" s="1" t="str">
        <f aca="false">VLOOKUP(Table6[[#This Row],[ID]], riskBugs!A:I, 9, 0)</f>
        <v> https://code4rena.com/reports/2022-04-phuture#h-01-indexlogic-an-attacker-can-mint-tokens-for-himself-using-assets-deposited-by-other-users</v>
      </c>
      <c r="F151" s="1" t="s">
        <v>1056</v>
      </c>
      <c r="G151" s="1" t="s">
        <v>725</v>
      </c>
      <c r="H151" s="1" t="s">
        <v>2645</v>
      </c>
      <c r="I151" s="1" t="s">
        <v>3044</v>
      </c>
      <c r="J151" s="1"/>
      <c r="K151" s="1" t="s">
        <v>2928</v>
      </c>
    </row>
    <row r="152" customFormat="false" ht="15" hidden="false" customHeight="false" outlineLevel="0" collapsed="false">
      <c r="A152" s="5" t="n">
        <v>90</v>
      </c>
      <c r="B152" s="5" t="n">
        <v>1</v>
      </c>
      <c r="C152" s="5" t="n">
        <f aca="false">COUNTIFS(c6raw!B:B, Table6[[#This Row],[ID]], c6raw!E:E, Table6[[#This Row],[function]],  c6raw!F:F, Table6[[#This Row],[bug type]])</f>
        <v>1</v>
      </c>
      <c r="D152" s="5" t="n">
        <v>2</v>
      </c>
      <c r="E152" s="5" t="str">
        <f aca="false">VLOOKUP(Table6[[#This Row],[ID]], riskBugs!A:I, 9, 0)</f>
        <v> https://code4rena.com/reports/2022-04-phuture#h-01-indexlogic-an-attacker-can-mint-tokens-for-himself-using-assets-deposited-by-other-users</v>
      </c>
      <c r="F152" s="5" t="s">
        <v>1056</v>
      </c>
      <c r="G152" s="1" t="s">
        <v>725</v>
      </c>
      <c r="H152" s="1" t="s">
        <v>2649</v>
      </c>
      <c r="I152" s="1" t="s">
        <v>2033</v>
      </c>
      <c r="J152" s="1"/>
      <c r="K152" s="5" t="s">
        <v>2929</v>
      </c>
    </row>
    <row r="153" customFormat="false" ht="15" hidden="false" customHeight="false" outlineLevel="0" collapsed="false">
      <c r="A153" s="1" t="n">
        <v>90</v>
      </c>
      <c r="B153" s="1" t="n">
        <v>1</v>
      </c>
      <c r="C153" s="1" t="n">
        <f aca="false">COUNTIFS(c6raw!B:B, Table6[[#This Row],[ID]], c6raw!E:E, Table6[[#This Row],[function]],  c6raw!F:F, Table6[[#This Row],[bug type]])</f>
        <v>1</v>
      </c>
      <c r="D153" s="1" t="n">
        <v>3</v>
      </c>
      <c r="E153" s="1" t="str">
        <f aca="false">VLOOKUP(Table6[[#This Row],[ID]], riskBugs!A:I, 9, 0)</f>
        <v> https://code4rena.com/reports/2022-04-phuture#h-01-indexlogic-an-attacker-can-mint-tokens-for-himself-using-assets-deposited-by-other-users</v>
      </c>
      <c r="F153" s="1" t="s">
        <v>1058</v>
      </c>
      <c r="G153" s="1" t="s">
        <v>725</v>
      </c>
      <c r="H153" s="1" t="s">
        <v>2654</v>
      </c>
      <c r="I153" s="1" t="s">
        <v>2005</v>
      </c>
      <c r="J153" s="1"/>
      <c r="K153" s="1" t="s">
        <v>2930</v>
      </c>
    </row>
    <row r="154" customFormat="false" ht="15" hidden="false" customHeight="false" outlineLevel="0" collapsed="false">
      <c r="A154" s="5" t="n">
        <v>90</v>
      </c>
      <c r="B154" s="5" t="n">
        <v>1</v>
      </c>
      <c r="C154" s="5" t="n">
        <f aca="false">COUNTIFS(c6raw!B:B, Table6[[#This Row],[ID]], c6raw!E:E, Table6[[#This Row],[function]],  c6raw!F:F, Table6[[#This Row],[bug type]])</f>
        <v>1</v>
      </c>
      <c r="D154" s="5" t="n">
        <v>4</v>
      </c>
      <c r="E154" s="5" t="str">
        <f aca="false">VLOOKUP(Table6[[#This Row],[ID]], riskBugs!A:I, 9, 0)</f>
        <v> https://code4rena.com/reports/2022-04-phuture#h-01-indexlogic-an-attacker-can-mint-tokens-for-himself-using-assets-deposited-by-other-users</v>
      </c>
      <c r="F154" s="5" t="s">
        <v>1058</v>
      </c>
      <c r="G154" s="1" t="s">
        <v>725</v>
      </c>
      <c r="H154" s="1" t="s">
        <v>2649</v>
      </c>
      <c r="I154" s="1" t="s">
        <v>2033</v>
      </c>
      <c r="J154" s="1"/>
      <c r="K154" s="5" t="s">
        <v>2931</v>
      </c>
    </row>
    <row r="155" customFormat="false" ht="15" hidden="false" customHeight="false" outlineLevel="0" collapsed="false">
      <c r="A155" s="1" t="n">
        <v>90</v>
      </c>
      <c r="B155" s="1" t="n">
        <v>2</v>
      </c>
      <c r="C155" s="1" t="n">
        <f aca="false">COUNTIFS(c6raw!B:B, Table6[[#This Row],[ID]], c6raw!E:E, Table6[[#This Row],[function]],  c6raw!F:F, Table6[[#This Row],[bug type]])</f>
        <v>1</v>
      </c>
      <c r="D155" s="1" t="n">
        <v>3</v>
      </c>
      <c r="E155" s="1" t="str">
        <f aca="false">VLOOKUP(Table6[[#This Row],[ID]], riskBugs!A:I, 9, 0)</f>
        <v> https://code4rena.com/reports/2022-04-phuture#h-01-indexlogic-an-attacker-can-mint-tokens-for-himself-using-assets-deposited-by-other-users</v>
      </c>
      <c r="F155" s="1" t="s">
        <v>1526</v>
      </c>
      <c r="G155" s="1" t="s">
        <v>725</v>
      </c>
      <c r="H155" s="1" t="s">
        <v>2654</v>
      </c>
      <c r="I155" s="1" t="s">
        <v>2005</v>
      </c>
      <c r="J155" s="1"/>
      <c r="K155" s="1" t="s">
        <v>2934</v>
      </c>
    </row>
    <row r="156" customFormat="false" ht="15" hidden="false" customHeight="false" outlineLevel="0" collapsed="false">
      <c r="A156" s="5" t="n">
        <v>94</v>
      </c>
      <c r="B156" s="5" t="n">
        <v>1</v>
      </c>
      <c r="C156" s="5" t="n">
        <f aca="false">COUNTIFS(c6raw!B:B, Table6[[#This Row],[ID]], c6raw!E:E, Table6[[#This Row],[function]],  c6raw!F:F, Table6[[#This Row],[bug type]])</f>
        <v>2</v>
      </c>
      <c r="D156" s="5" t="n">
        <v>1</v>
      </c>
      <c r="E156" s="5" t="str">
        <f aca="false">VLOOKUP(Table6[[#This Row],[ID]], riskBugs!A:I, 9, 0)</f>
        <v> https://code4rena.com/reports/2022-02-foundation#h-01-nft-owner-can-create-multiple-auctions</v>
      </c>
      <c r="F156" s="5" t="s">
        <v>2938</v>
      </c>
      <c r="G156" s="5" t="s">
        <v>734</v>
      </c>
      <c r="H156" s="1" t="s">
        <v>2645</v>
      </c>
      <c r="I156" s="1" t="s">
        <v>3058</v>
      </c>
      <c r="J156" s="1"/>
      <c r="K156" s="5" t="s">
        <v>2939</v>
      </c>
    </row>
    <row r="157" customFormat="false" ht="15" hidden="false" customHeight="false" outlineLevel="0" collapsed="false">
      <c r="A157" s="1" t="n">
        <v>94</v>
      </c>
      <c r="B157" s="1" t="n">
        <v>1</v>
      </c>
      <c r="C157" s="1" t="n">
        <f aca="false">COUNTIFS(c6raw!B:B, Table6[[#This Row],[ID]], c6raw!E:E, Table6[[#This Row],[function]],  c6raw!F:F, Table6[[#This Row],[bug type]])</f>
        <v>1</v>
      </c>
      <c r="D157" s="1" t="n">
        <v>2</v>
      </c>
      <c r="E157" s="1" t="str">
        <f aca="false">VLOOKUP(Table6[[#This Row],[ID]], riskBugs!A:I, 9, 0)</f>
        <v> https://code4rena.com/reports/2022-02-foundation#h-01-nft-owner-can-create-multiple-auctions</v>
      </c>
      <c r="F157" s="1" t="s">
        <v>2940</v>
      </c>
      <c r="G157" s="1" t="s">
        <v>737</v>
      </c>
      <c r="H157" s="1" t="s">
        <v>2654</v>
      </c>
      <c r="I157" s="1" t="s">
        <v>3059</v>
      </c>
      <c r="J157" s="1"/>
      <c r="K157" s="1" t="s">
        <v>2941</v>
      </c>
    </row>
    <row r="158" customFormat="false" ht="15" hidden="false" customHeight="false" outlineLevel="0" collapsed="false">
      <c r="A158" s="1" t="n">
        <v>94</v>
      </c>
      <c r="B158" s="1" t="n">
        <v>2</v>
      </c>
      <c r="C158" s="1" t="n">
        <f aca="false">COUNTIFS(c6raw!B:B, Table6[[#This Row],[ID]], c6raw!E:E, Table6[[#This Row],[function]],  c6raw!F:F, Table6[[#This Row],[bug type]])</f>
        <v>1</v>
      </c>
      <c r="D158" s="1" t="n">
        <v>1</v>
      </c>
      <c r="E158" s="1" t="str">
        <f aca="false">VLOOKUP(Table6[[#This Row],[ID]], riskBugs!A:I, 9, 0)</f>
        <v> https://code4rena.com/reports/2022-02-foundation#h-01-nft-owner-can-create-multiple-auctions</v>
      </c>
      <c r="F158" s="1" t="s">
        <v>2943</v>
      </c>
      <c r="G158" s="5" t="s">
        <v>734</v>
      </c>
      <c r="H158" s="1" t="s">
        <v>2649</v>
      </c>
      <c r="I158" s="1" t="s">
        <v>2033</v>
      </c>
      <c r="J158" s="1"/>
      <c r="K158" s="1" t="s">
        <v>2944</v>
      </c>
    </row>
    <row r="159" customFormat="false" ht="15" hidden="false" customHeight="false" outlineLevel="0" collapsed="false">
      <c r="A159" s="5" t="n">
        <v>94</v>
      </c>
      <c r="B159" s="5" t="n">
        <v>2</v>
      </c>
      <c r="C159" s="5" t="n">
        <f aca="false">COUNTIFS(c6raw!B:B, Table6[[#This Row],[ID]], c6raw!E:E, Table6[[#This Row],[function]],  c6raw!F:F, Table6[[#This Row],[bug type]])</f>
        <v>1</v>
      </c>
      <c r="D159" s="5" t="n">
        <v>1</v>
      </c>
      <c r="E159" s="5" t="str">
        <f aca="false">VLOOKUP(Table6[[#This Row],[ID]], riskBugs!A:I, 9, 0)</f>
        <v> https://code4rena.com/reports/2022-02-foundation#h-01-nft-owner-can-create-multiple-auctions</v>
      </c>
      <c r="F159" s="5" t="s">
        <v>2945</v>
      </c>
      <c r="G159" s="1" t="s">
        <v>737</v>
      </c>
      <c r="H159" s="1" t="s">
        <v>2649</v>
      </c>
      <c r="I159" s="1" t="s">
        <v>3060</v>
      </c>
      <c r="J159" s="1"/>
      <c r="K159" s="5" t="s">
        <v>2946</v>
      </c>
    </row>
    <row r="160" customFormat="false" ht="15" hidden="false" customHeight="false" outlineLevel="0" collapsed="false">
      <c r="A160" s="1" t="n">
        <v>94</v>
      </c>
      <c r="B160" s="1" t="n">
        <v>2</v>
      </c>
      <c r="C160" s="1" t="n">
        <f aca="false">COUNTIFS(c6raw!B:B, Table6[[#This Row],[ID]], c6raw!E:E, Table6[[#This Row],[function]],  c6raw!F:F, Table6[[#This Row],[bug type]])</f>
        <v>1</v>
      </c>
      <c r="D160" s="1" t="n">
        <v>2</v>
      </c>
      <c r="E160" s="1" t="str">
        <f aca="false">VLOOKUP(Table6[[#This Row],[ID]], riskBugs!A:I, 9, 0)</f>
        <v> https://code4rena.com/reports/2022-02-foundation#h-01-nft-owner-can-create-multiple-auctions</v>
      </c>
      <c r="F160" s="1" t="s">
        <v>2947</v>
      </c>
      <c r="G160" s="5" t="s">
        <v>734</v>
      </c>
      <c r="H160" s="1" t="s">
        <v>2654</v>
      </c>
      <c r="I160" s="1" t="s">
        <v>3061</v>
      </c>
      <c r="J160" s="1"/>
      <c r="K160" s="1" t="s">
        <v>2948</v>
      </c>
    </row>
    <row r="161" customFormat="false" ht="15" hidden="false" customHeight="false" outlineLevel="0" collapsed="false">
      <c r="A161" s="5" t="n">
        <v>94</v>
      </c>
      <c r="B161" s="5" t="n">
        <v>3</v>
      </c>
      <c r="C161" s="5" t="n">
        <f aca="false">COUNTIFS(c6raw!B:B, Table6[[#This Row],[ID]], c6raw!E:E, Table6[[#This Row],[function]],  c6raw!F:F, Table6[[#This Row],[bug type]])</f>
        <v>1</v>
      </c>
      <c r="D161" s="5" t="n">
        <v>2</v>
      </c>
      <c r="E161" s="5" t="str">
        <f aca="false">VLOOKUP(Table6[[#This Row],[ID]], riskBugs!A:I, 9, 0)</f>
        <v> https://code4rena.com/reports/2022-02-foundation#h-01-nft-owner-can-create-multiple-auctions</v>
      </c>
      <c r="F161" s="5" t="s">
        <v>2938</v>
      </c>
      <c r="G161" s="1" t="s">
        <v>737</v>
      </c>
      <c r="H161" s="1" t="s">
        <v>2649</v>
      </c>
      <c r="I161" s="1" t="s">
        <v>3062</v>
      </c>
      <c r="J161" s="1"/>
      <c r="K161" s="5" t="s">
        <v>3063</v>
      </c>
    </row>
    <row r="162" customFormat="false" ht="15" hidden="false" customHeight="false" outlineLevel="0" collapsed="false">
      <c r="A162" s="1" t="n">
        <v>94</v>
      </c>
      <c r="B162" s="1" t="n">
        <v>3</v>
      </c>
      <c r="C162" s="1" t="n">
        <f aca="false">COUNTIFS(c6raw!B:B, Table6[[#This Row],[ID]], c6raw!E:E, Table6[[#This Row],[function]],  c6raw!F:F, Table6[[#This Row],[bug type]])</f>
        <v>1</v>
      </c>
      <c r="D162" s="1" t="n">
        <v>1</v>
      </c>
      <c r="E162" s="1" t="str">
        <f aca="false">VLOOKUP(Table6[[#This Row],[ID]], riskBugs!A:I, 9, 0)</f>
        <v> https://code4rena.com/reports/2022-02-foundation#h-01-nft-owner-can-create-multiple-auctions</v>
      </c>
      <c r="F162" s="1" t="s">
        <v>2945</v>
      </c>
      <c r="G162" s="15" t="s">
        <v>3064</v>
      </c>
      <c r="H162" s="1" t="s">
        <v>2645</v>
      </c>
      <c r="I162" s="1" t="s">
        <v>3055</v>
      </c>
      <c r="J162" s="1"/>
      <c r="K162" s="1" t="s">
        <v>2951</v>
      </c>
    </row>
    <row r="163" customFormat="false" ht="15" hidden="false" customHeight="false" outlineLevel="0" collapsed="false">
      <c r="A163" s="5" t="n">
        <v>96</v>
      </c>
      <c r="B163" s="5" t="n">
        <v>2</v>
      </c>
      <c r="C163" s="5" t="n">
        <f aca="false">COUNTIFS(c6raw!B:B, Table6[[#This Row],[ID]], c6raw!E:E, Table6[[#This Row],[function]],  c6raw!F:F, Table6[[#This Row],[bug type]])</f>
        <v>1</v>
      </c>
      <c r="D163" s="5" t="n">
        <v>1</v>
      </c>
      <c r="E163" s="5" t="str">
        <f aca="false">VLOOKUP(Table6[[#This Row],[ID]], riskBugs!A:I, 9, 0)</f>
        <v> https://code4rena.com/reports/2022-03-timeswap#h-01-wrong-timing-of-check-allows-users-to-withdraw-collateral-without-paying-for-the-debt</v>
      </c>
      <c r="F163" s="5" t="s">
        <v>2953</v>
      </c>
      <c r="G163" s="5" t="s">
        <v>658</v>
      </c>
      <c r="H163" s="1" t="s">
        <v>2645</v>
      </c>
      <c r="I163" s="1" t="s">
        <v>2001</v>
      </c>
      <c r="J163" s="1"/>
      <c r="K163" s="5" t="s">
        <v>2954</v>
      </c>
    </row>
    <row r="164" customFormat="false" ht="15" hidden="false" customHeight="false" outlineLevel="0" collapsed="false">
      <c r="A164" s="1" t="n">
        <v>97</v>
      </c>
      <c r="B164" s="1" t="n">
        <v>1</v>
      </c>
      <c r="C164" s="1" t="n">
        <f aca="false">COUNTIFS(c6raw!B:B, Table6[[#This Row],[ID]], c6raw!E:E, Table6[[#This Row],[function]],  c6raw!F:F, Table6[[#This Row],[bug type]])</f>
        <v>2</v>
      </c>
      <c r="D164" s="1" t="n">
        <v>1</v>
      </c>
      <c r="E164" s="1" t="str">
        <f aca="false">VLOOKUP(Table6[[#This Row],[ID]], riskBugs!A:I, 9, 0)</f>
        <v> https://code4rena.com/reports/2022-03-biconomy#h-01-can-deposit-native-token-for-free-and-steal-funds</v>
      </c>
      <c r="F164" s="1" t="s">
        <v>2956</v>
      </c>
      <c r="G164" s="1" t="s">
        <v>742</v>
      </c>
      <c r="H164" s="1" t="s">
        <v>2654</v>
      </c>
      <c r="I164" s="1" t="s">
        <v>2005</v>
      </c>
      <c r="J164" s="1"/>
      <c r="K164" s="1" t="s">
        <v>2957</v>
      </c>
    </row>
    <row r="165" customFormat="false" ht="15" hidden="false" customHeight="false" outlineLevel="0" collapsed="false">
      <c r="A165" s="5" t="n">
        <v>97</v>
      </c>
      <c r="B165" s="5" t="n">
        <v>1</v>
      </c>
      <c r="C165" s="5" t="n">
        <f aca="false">COUNTIFS(c6raw!B:B, Table6[[#This Row],[ID]], c6raw!E:E, Table6[[#This Row],[function]],  c6raw!F:F, Table6[[#This Row],[bug type]])</f>
        <v>1</v>
      </c>
      <c r="D165" s="5" t="n">
        <v>2</v>
      </c>
      <c r="E165" s="5" t="str">
        <f aca="false">VLOOKUP(Table6[[#This Row],[ID]], riskBugs!A:I, 9, 0)</f>
        <v> https://code4rena.com/reports/2022-03-biconomy#h-01-can-deposit-native-token-for-free-and-steal-funds</v>
      </c>
      <c r="F165" s="5" t="s">
        <v>2958</v>
      </c>
      <c r="G165" s="1" t="s">
        <v>742</v>
      </c>
      <c r="H165" s="1" t="s">
        <v>2649</v>
      </c>
      <c r="I165" s="1" t="s">
        <v>2005</v>
      </c>
      <c r="J165" s="1"/>
      <c r="K165" s="5" t="s">
        <v>2959</v>
      </c>
    </row>
    <row r="166" customFormat="false" ht="15" hidden="false" customHeight="false" outlineLevel="0" collapsed="false">
      <c r="A166" s="1" t="n">
        <v>97</v>
      </c>
      <c r="B166" s="1" t="n">
        <v>3</v>
      </c>
      <c r="C166" s="1" t="n">
        <f aca="false">COUNTIFS(c6raw!B:B, Table6[[#This Row],[ID]], c6raw!E:E, Table6[[#This Row],[function]],  c6raw!F:F, Table6[[#This Row],[bug type]])</f>
        <v>1</v>
      </c>
      <c r="D166" s="1" t="n">
        <v>2</v>
      </c>
      <c r="E166" s="1" t="str">
        <f aca="false">VLOOKUP(Table6[[#This Row],[ID]], riskBugs!A:I, 9, 0)</f>
        <v> https://code4rena.com/reports/2022-03-biconomy#h-01-can-deposit-native-token-for-free-and-steal-funds</v>
      </c>
      <c r="F166" s="1" t="s">
        <v>2958</v>
      </c>
      <c r="G166" s="1" t="s">
        <v>742</v>
      </c>
      <c r="H166" s="1" t="s">
        <v>2645</v>
      </c>
      <c r="I166" s="1" t="s">
        <v>3044</v>
      </c>
      <c r="J166" s="1"/>
      <c r="K166" s="1" t="s">
        <v>2961</v>
      </c>
    </row>
    <row r="167" customFormat="false" ht="15" hidden="false" customHeight="false" outlineLevel="0" collapsed="false">
      <c r="A167" s="5" t="n">
        <v>100</v>
      </c>
      <c r="B167" s="5" t="n">
        <v>1</v>
      </c>
      <c r="C167" s="5" t="n">
        <f aca="false">COUNTIFS(c6raw!B:B, Table6[[#This Row],[ID]], c6raw!E:E, Table6[[#This Row],[function]],  c6raw!F:F, Table6[[#This Row],[bug type]])</f>
        <v>2</v>
      </c>
      <c r="D167" s="5" t="n">
        <v>1</v>
      </c>
      <c r="E167" s="5" t="str">
        <f aca="false">VLOOKUP(Table6[[#This Row],[ID]], riskBugs!A:I, 9, 0)</f>
        <v> https://code4rena.com/reports/2022-03-prepo#h-03-withdrawal-delay-can-be-circumvented</v>
      </c>
      <c r="F167" s="5" t="s">
        <v>1105</v>
      </c>
      <c r="G167" s="5" t="s">
        <v>543</v>
      </c>
      <c r="H167" s="1" t="s">
        <v>2645</v>
      </c>
      <c r="I167" s="1" t="s">
        <v>2001</v>
      </c>
      <c r="J167" s="1"/>
      <c r="K167" s="5" t="s">
        <v>2963</v>
      </c>
    </row>
    <row r="168" customFormat="false" ht="15" hidden="false" customHeight="false" outlineLevel="0" collapsed="false">
      <c r="A168" s="5" t="n">
        <v>100</v>
      </c>
      <c r="B168" s="5" t="n">
        <v>2</v>
      </c>
      <c r="C168" s="5" t="n">
        <f aca="false">COUNTIFS(c6raw!B:B, Table6[[#This Row],[ID]], c6raw!E:E, Table6[[#This Row],[function]],  c6raw!F:F, Table6[[#This Row],[bug type]])</f>
        <v>2</v>
      </c>
      <c r="D168" s="5" t="n">
        <v>1</v>
      </c>
      <c r="E168" s="5" t="str">
        <f aca="false">VLOOKUP(Table6[[#This Row],[ID]], riskBugs!A:I, 9, 0)</f>
        <v> https://code4rena.com/reports/2022-03-prepo#h-03-withdrawal-delay-can-be-circumvented</v>
      </c>
      <c r="F168" s="5" t="s">
        <v>1105</v>
      </c>
      <c r="G168" s="5" t="s">
        <v>543</v>
      </c>
      <c r="H168" s="1" t="s">
        <v>2654</v>
      </c>
      <c r="I168" s="1" t="s">
        <v>2627</v>
      </c>
      <c r="J168" s="1"/>
      <c r="K168" s="5" t="s">
        <v>2965</v>
      </c>
    </row>
    <row r="169" customFormat="false" ht="15" hidden="false" customHeight="false" outlineLevel="0" collapsed="false">
      <c r="A169" s="1" t="n">
        <v>100</v>
      </c>
      <c r="B169" s="1" t="n">
        <v>2</v>
      </c>
      <c r="C169" s="1" t="n">
        <f aca="false">COUNTIFS(c6raw!B:B, Table6[[#This Row],[ID]], c6raw!E:E, Table6[[#This Row],[function]],  c6raw!F:F, Table6[[#This Row],[bug type]])</f>
        <v>1</v>
      </c>
      <c r="D169" s="1" t="n">
        <v>2</v>
      </c>
      <c r="E169" s="1" t="str">
        <f aca="false">VLOOKUP(Table6[[#This Row],[ID]], riskBugs!A:I, 9, 0)</f>
        <v> https://code4rena.com/reports/2022-03-prepo#h-03-withdrawal-delay-can-be-circumvented</v>
      </c>
      <c r="F169" s="1" t="s">
        <v>1592</v>
      </c>
      <c r="G169" s="5" t="s">
        <v>543</v>
      </c>
      <c r="H169" s="1" t="s">
        <v>2649</v>
      </c>
      <c r="I169" s="1" t="s">
        <v>2627</v>
      </c>
      <c r="J169" s="1"/>
      <c r="K169" s="1" t="s">
        <v>2966</v>
      </c>
    </row>
    <row r="170" customFormat="false" ht="15" hidden="false" customHeight="false" outlineLevel="0" collapsed="false">
      <c r="A170" s="1" t="n">
        <v>100</v>
      </c>
      <c r="B170" s="1" t="n">
        <v>3</v>
      </c>
      <c r="C170" s="1" t="n">
        <f aca="false">COUNTIFS(c6raw!B:B, Table6[[#This Row],[ID]], c6raw!E:E, Table6[[#This Row],[function]],  c6raw!F:F, Table6[[#This Row],[bug type]])</f>
        <v>1</v>
      </c>
      <c r="D170" s="1" t="n">
        <v>3</v>
      </c>
      <c r="E170" s="1" t="str">
        <f aca="false">VLOOKUP(Table6[[#This Row],[ID]], riskBugs!A:I, 9, 0)</f>
        <v> https://code4rena.com/reports/2022-03-prepo#h-03-withdrawal-delay-can-be-circumvented</v>
      </c>
      <c r="F170" s="1" t="s">
        <v>1107</v>
      </c>
      <c r="G170" s="5" t="s">
        <v>543</v>
      </c>
      <c r="H170" s="1" t="s">
        <v>2645</v>
      </c>
      <c r="I170" s="1" t="s">
        <v>3044</v>
      </c>
      <c r="J170" s="1"/>
      <c r="K170" s="1" t="s">
        <v>2970</v>
      </c>
    </row>
    <row r="171" customFormat="false" ht="15" hidden="false" customHeight="false" outlineLevel="0" collapsed="false">
      <c r="A171" s="5" t="n">
        <v>100</v>
      </c>
      <c r="B171" s="5" t="n">
        <v>3</v>
      </c>
      <c r="C171" s="5" t="n">
        <f aca="false">COUNTIFS(c6raw!B:B, Table6[[#This Row],[ID]], c6raw!E:E, Table6[[#This Row],[function]],  c6raw!F:F, Table6[[#This Row],[bug type]])</f>
        <v>1</v>
      </c>
      <c r="D171" s="5" t="n">
        <v>4</v>
      </c>
      <c r="E171" s="5" t="str">
        <f aca="false">VLOOKUP(Table6[[#This Row],[ID]], riskBugs!A:I, 9, 0)</f>
        <v> https://code4rena.com/reports/2022-03-prepo#h-03-withdrawal-delay-can-be-circumvented</v>
      </c>
      <c r="F171" s="5" t="s">
        <v>2971</v>
      </c>
      <c r="G171" s="5" t="s">
        <v>543</v>
      </c>
      <c r="H171" s="1" t="s">
        <v>2649</v>
      </c>
      <c r="I171" s="1" t="s">
        <v>3065</v>
      </c>
      <c r="J171" s="1"/>
      <c r="K171" s="5" t="s">
        <v>2972</v>
      </c>
    </row>
    <row r="172" customFormat="false" ht="15" hidden="false" customHeight="false" outlineLevel="0" collapsed="false">
      <c r="A172" s="1" t="n">
        <v>100</v>
      </c>
      <c r="B172" s="1" t="n">
        <v>3</v>
      </c>
      <c r="C172" s="1" t="n">
        <f aca="false">COUNTIFS(c6raw!B:B, Table6[[#This Row],[ID]], c6raw!E:E, Table6[[#This Row],[function]],  c6raw!F:F, Table6[[#This Row],[bug type]])</f>
        <v>1</v>
      </c>
      <c r="D172" s="1" t="n">
        <v>5</v>
      </c>
      <c r="E172" s="1" t="str">
        <f aca="false">VLOOKUP(Table6[[#This Row],[ID]], riskBugs!A:I, 9, 0)</f>
        <v> https://code4rena.com/reports/2022-03-prepo#h-03-withdrawal-delay-can-be-circumvented</v>
      </c>
      <c r="F172" s="1" t="s">
        <v>2973</v>
      </c>
      <c r="G172" s="5" t="s">
        <v>543</v>
      </c>
      <c r="H172" s="1" t="s">
        <v>2649</v>
      </c>
      <c r="I172" s="1" t="s">
        <v>2005</v>
      </c>
      <c r="J172" s="1"/>
      <c r="K172" s="1" t="s">
        <v>2974</v>
      </c>
    </row>
    <row r="173" customFormat="false" ht="15" hidden="false" customHeight="false" outlineLevel="0" collapsed="false">
      <c r="A173" s="5" t="n">
        <v>125</v>
      </c>
      <c r="B173" s="5" t="n">
        <v>1</v>
      </c>
      <c r="C173" s="5" t="n">
        <f aca="false">COUNTIFS(c6raw!B:B, Table6[[#This Row],[ID]], c6raw!E:E, Table6[[#This Row],[function]],  c6raw!F:F, Table6[[#This Row],[bug type]])</f>
        <v>2</v>
      </c>
      <c r="D173" s="5" t="n">
        <v>1</v>
      </c>
      <c r="E173" s="5" t="str">
        <f aca="false">VLOOKUP(Table6[[#This Row],[ID]], riskBugs!A:I, 9, 0)</f>
        <v> https://code4rena.com/reports/2022-05-sturdy#h-01-hard-coded-slippage-may-freeze-user-funds-during-market-turbulence</v>
      </c>
      <c r="F173" s="5" t="s">
        <v>2976</v>
      </c>
      <c r="G173" s="1" t="s">
        <v>817</v>
      </c>
      <c r="H173" s="1" t="s">
        <v>2649</v>
      </c>
      <c r="I173" s="1" t="s">
        <v>2033</v>
      </c>
      <c r="J173" s="1"/>
      <c r="K173" s="5" t="s">
        <v>2977</v>
      </c>
    </row>
    <row r="174" customFormat="false" ht="15" hidden="false" customHeight="false" outlineLevel="0" collapsed="false">
      <c r="A174" s="1" t="n">
        <v>125</v>
      </c>
      <c r="B174" s="1" t="n">
        <v>1</v>
      </c>
      <c r="C174" s="1" t="n">
        <f aca="false">COUNTIFS(c6raw!B:B, Table6[[#This Row],[ID]], c6raw!E:E, Table6[[#This Row],[function]],  c6raw!F:F, Table6[[#This Row],[bug type]])</f>
        <v>2</v>
      </c>
      <c r="D174" s="1" t="n">
        <v>2</v>
      </c>
      <c r="E174" s="1" t="str">
        <f aca="false">VLOOKUP(Table6[[#This Row],[ID]], riskBugs!A:I, 9, 0)</f>
        <v> https://code4rena.com/reports/2022-05-sturdy#h-01-hard-coded-slippage-may-freeze-user-funds-during-market-turbulence</v>
      </c>
      <c r="F174" s="1" t="s">
        <v>2978</v>
      </c>
      <c r="G174" s="1" t="s">
        <v>817</v>
      </c>
      <c r="H174" s="1" t="s">
        <v>2654</v>
      </c>
      <c r="I174" s="1" t="s">
        <v>2005</v>
      </c>
      <c r="J174" s="1"/>
      <c r="K174" s="1" t="s">
        <v>2979</v>
      </c>
    </row>
    <row r="175" customFormat="false" ht="15" hidden="false" customHeight="false" outlineLevel="0" collapsed="false">
      <c r="A175" s="5" t="n">
        <v>125</v>
      </c>
      <c r="B175" s="5" t="n">
        <v>1</v>
      </c>
      <c r="C175" s="5" t="n">
        <f aca="false">COUNTIFS(c6raw!B:B, Table6[[#This Row],[ID]], c6raw!E:E, Table6[[#This Row],[function]],  c6raw!F:F, Table6[[#This Row],[bug type]])</f>
        <v>2</v>
      </c>
      <c r="D175" s="5" t="n">
        <v>1</v>
      </c>
      <c r="E175" s="5" t="str">
        <f aca="false">VLOOKUP(Table6[[#This Row],[ID]], riskBugs!A:I, 9, 0)</f>
        <v> https://code4rena.com/reports/2022-05-sturdy#h-01-hard-coded-slippage-may-freeze-user-funds-during-market-turbulence</v>
      </c>
      <c r="F175" s="5" t="s">
        <v>2980</v>
      </c>
      <c r="G175" s="1" t="s">
        <v>817</v>
      </c>
      <c r="H175" s="1" t="s">
        <v>2649</v>
      </c>
      <c r="I175" s="1" t="s">
        <v>3066</v>
      </c>
      <c r="J175" s="3" t="s">
        <v>3067</v>
      </c>
      <c r="K175" s="5" t="s">
        <v>2981</v>
      </c>
    </row>
    <row r="176" customFormat="false" ht="15" hidden="false" customHeight="false" outlineLevel="0" collapsed="false">
      <c r="A176" s="1" t="n">
        <v>125</v>
      </c>
      <c r="B176" s="1" t="n">
        <v>1</v>
      </c>
      <c r="C176" s="1" t="n">
        <f aca="false">COUNTIFS(c6raw!B:B, Table6[[#This Row],[ID]], c6raw!E:E, Table6[[#This Row],[function]],  c6raw!F:F, Table6[[#This Row],[bug type]])</f>
        <v>1</v>
      </c>
      <c r="D176" s="1" t="n">
        <v>2</v>
      </c>
      <c r="E176" s="1" t="str">
        <f aca="false">VLOOKUP(Table6[[#This Row],[ID]], riskBugs!A:I, 9, 0)</f>
        <v> https://code4rena.com/reports/2022-05-sturdy#h-01-hard-coded-slippage-may-freeze-user-funds-during-market-turbulence</v>
      </c>
      <c r="F176" s="1" t="s">
        <v>2982</v>
      </c>
      <c r="G176" s="1" t="s">
        <v>817</v>
      </c>
      <c r="H176" s="1" t="s">
        <v>2654</v>
      </c>
      <c r="I176" s="1" t="s">
        <v>2005</v>
      </c>
      <c r="J176" s="1"/>
      <c r="K176" s="1" t="s">
        <v>2983</v>
      </c>
    </row>
    <row r="177" customFormat="false" ht="15" hidden="false" customHeight="false" outlineLevel="0" collapsed="false">
      <c r="A177" s="5" t="n">
        <v>125</v>
      </c>
      <c r="B177" s="5" t="n">
        <v>3</v>
      </c>
      <c r="C177" s="5" t="n">
        <f aca="false">COUNTIFS(c6raw!B:B, Table6[[#This Row],[ID]], c6raw!E:E, Table6[[#This Row],[function]],  c6raw!F:F, Table6[[#This Row],[bug type]])</f>
        <v>1</v>
      </c>
      <c r="D177" s="5" t="n">
        <v>1</v>
      </c>
      <c r="E177" s="5" t="str">
        <f aca="false">VLOOKUP(Table6[[#This Row],[ID]], riskBugs!A:I, 9, 0)</f>
        <v> https://code4rena.com/reports/2022-05-sturdy#h-01-hard-coded-slippage-may-freeze-user-funds-during-market-turbulence</v>
      </c>
      <c r="F177" s="5" t="s">
        <v>2989</v>
      </c>
      <c r="G177" s="1" t="s">
        <v>817</v>
      </c>
      <c r="H177" s="1" t="s">
        <v>2649</v>
      </c>
      <c r="I177" s="1" t="s">
        <v>3059</v>
      </c>
      <c r="J177" s="1"/>
      <c r="K177" s="5" t="s">
        <v>2990</v>
      </c>
    </row>
    <row r="178" customFormat="false" ht="15" hidden="false" customHeight="false" outlineLevel="0" collapsed="false">
      <c r="A178" s="1" t="n">
        <v>125</v>
      </c>
      <c r="B178" s="1" t="n">
        <v>3</v>
      </c>
      <c r="C178" s="1" t="n">
        <f aca="false">COUNTIFS(c6raw!B:B, Table6[[#This Row],[ID]], c6raw!E:E, Table6[[#This Row],[function]],  c6raw!F:F, Table6[[#This Row],[bug type]])</f>
        <v>1</v>
      </c>
      <c r="D178" s="1" t="n">
        <v>2</v>
      </c>
      <c r="E178" s="1" t="str">
        <f aca="false">VLOOKUP(Table6[[#This Row],[ID]], riskBugs!A:I, 9, 0)</f>
        <v> https://code4rena.com/reports/2022-05-sturdy#h-01-hard-coded-slippage-may-freeze-user-funds-during-market-turbulence</v>
      </c>
      <c r="F178" s="1" t="s">
        <v>2978</v>
      </c>
      <c r="G178" s="1" t="s">
        <v>817</v>
      </c>
      <c r="H178" s="1" t="s">
        <v>2645</v>
      </c>
      <c r="I178" s="1" t="s">
        <v>3068</v>
      </c>
      <c r="J178" s="1"/>
      <c r="K178" s="1" t="s">
        <v>2991</v>
      </c>
    </row>
    <row r="179" customFormat="false" ht="15" hidden="false" customHeight="false" outlineLevel="0" collapsed="false">
      <c r="A179" s="5" t="n">
        <v>125</v>
      </c>
      <c r="B179" s="5" t="n">
        <v>3</v>
      </c>
      <c r="C179" s="5" t="n">
        <f aca="false">COUNTIFS(c6raw!B:B, Table6[[#This Row],[ID]], c6raw!E:E, Table6[[#This Row],[function]],  c6raw!F:F, Table6[[#This Row],[bug type]])</f>
        <v>1</v>
      </c>
      <c r="D179" s="5" t="n">
        <v>3</v>
      </c>
      <c r="E179" s="5" t="str">
        <f aca="false">VLOOKUP(Table6[[#This Row],[ID]], riskBugs!A:I, 9, 0)</f>
        <v> https://code4rena.com/reports/2022-05-sturdy#h-01-hard-coded-slippage-may-freeze-user-funds-during-market-turbulence</v>
      </c>
      <c r="F179" s="5" t="s">
        <v>2980</v>
      </c>
      <c r="G179" s="1" t="s">
        <v>817</v>
      </c>
      <c r="H179" s="1" t="s">
        <v>2654</v>
      </c>
      <c r="I179" s="1" t="s">
        <v>2001</v>
      </c>
      <c r="J179" s="1"/>
      <c r="K179" s="5" t="s">
        <v>2992</v>
      </c>
    </row>
    <row r="180" customFormat="false" ht="15" hidden="false" customHeight="false" outlineLevel="0" collapsed="false">
      <c r="A180" s="1" t="n">
        <v>143</v>
      </c>
      <c r="B180" s="1" t="n">
        <v>2</v>
      </c>
      <c r="C180" s="1" t="n">
        <f aca="false">COUNTIFS(c6raw!B:B, Table6[[#This Row],[ID]], c6raw!E:E, Table6[[#This Row],[function]],  c6raw!F:F, Table6[[#This Row],[bug type]])</f>
        <v>2</v>
      </c>
      <c r="D180" s="1" t="n">
        <v>1</v>
      </c>
      <c r="E180" s="1" t="str">
        <f aca="false">VLOOKUP(Table6[[#This Row],[ID]], riskBugs!A:I, 9, 0)</f>
        <v> https://code4rena.com/reports/2022-07-juicebox#h-01-oracle-data-feed-can-be-outdated-yet-used-anyways-which-will-impact-payment-logic</v>
      </c>
      <c r="F180" s="1" t="s">
        <v>2993</v>
      </c>
      <c r="G180" s="1" t="s">
        <v>823</v>
      </c>
      <c r="H180" s="1" t="s">
        <v>2654</v>
      </c>
      <c r="I180" s="1" t="s">
        <v>2005</v>
      </c>
      <c r="J180" s="1"/>
      <c r="K180" s="1" t="s">
        <v>2994</v>
      </c>
    </row>
    <row r="181" customFormat="false" ht="15" hidden="false" customHeight="false" outlineLevel="0" collapsed="false">
      <c r="A181" s="5" t="n">
        <v>143</v>
      </c>
      <c r="B181" s="5" t="n">
        <v>2</v>
      </c>
      <c r="C181" s="5" t="n">
        <f aca="false">COUNTIFS(c6raw!B:B, Table6[[#This Row],[ID]], c6raw!E:E, Table6[[#This Row],[function]],  c6raw!F:F, Table6[[#This Row],[bug type]])</f>
        <v>1</v>
      </c>
      <c r="D181" s="5" t="n">
        <v>2</v>
      </c>
      <c r="E181" s="5" t="str">
        <f aca="false">VLOOKUP(Table6[[#This Row],[ID]], riskBugs!A:I, 9, 0)</f>
        <v> https://code4rena.com/reports/2022-07-juicebox#h-01-oracle-data-feed-can-be-outdated-yet-used-anyways-which-will-impact-payment-logic</v>
      </c>
      <c r="F181" s="5" t="s">
        <v>2993</v>
      </c>
      <c r="G181" s="1" t="s">
        <v>823</v>
      </c>
      <c r="H181" s="1" t="s">
        <v>2649</v>
      </c>
      <c r="I181" s="1" t="s">
        <v>3069</v>
      </c>
      <c r="J181" s="1"/>
      <c r="K181" s="5" t="s">
        <v>2995</v>
      </c>
    </row>
    <row r="182" customFormat="false" ht="15" hidden="false" customHeight="false" outlineLevel="0" collapsed="false">
      <c r="A182" s="1" t="n">
        <v>143</v>
      </c>
      <c r="B182" s="1" t="n">
        <v>2</v>
      </c>
      <c r="C182" s="1" t="n">
        <f aca="false">COUNTIFS(c6raw!B:B, Table6[[#This Row],[ID]], c6raw!E:E, Table6[[#This Row],[function]],  c6raw!F:F, Table6[[#This Row],[bug type]])</f>
        <v>1</v>
      </c>
      <c r="D182" s="1" t="n">
        <v>1</v>
      </c>
      <c r="E182" s="1" t="str">
        <f aca="false">VLOOKUP(Table6[[#This Row],[ID]], riskBugs!A:I, 9, 0)</f>
        <v> https://code4rena.com/reports/2022-07-juicebox#h-01-oracle-data-feed-can-be-outdated-yet-used-anyways-which-will-impact-payment-logic</v>
      </c>
      <c r="F182" s="1" t="s">
        <v>2996</v>
      </c>
      <c r="G182" s="1" t="s">
        <v>823</v>
      </c>
      <c r="H182" s="1" t="s">
        <v>2649</v>
      </c>
      <c r="I182" s="1" t="s">
        <v>3069</v>
      </c>
      <c r="J182" s="1"/>
      <c r="K182" s="1" t="s">
        <v>2997</v>
      </c>
    </row>
    <row r="183" customFormat="false" ht="15" hidden="false" customHeight="false" outlineLevel="0" collapsed="false">
      <c r="A183" s="5" t="n">
        <v>143</v>
      </c>
      <c r="B183" s="5" t="n">
        <v>3</v>
      </c>
      <c r="C183" s="5" t="n">
        <f aca="false">COUNTIFS(c6raw!B:B, Table6[[#This Row],[ID]], c6raw!E:E, Table6[[#This Row],[function]],  c6raw!F:F, Table6[[#This Row],[bug type]])</f>
        <v>1</v>
      </c>
      <c r="D183" s="5" t="n">
        <v>1</v>
      </c>
      <c r="E183" s="5" t="str">
        <f aca="false">VLOOKUP(Table6[[#This Row],[ID]], riskBugs!A:I, 9, 0)</f>
        <v> https://code4rena.com/reports/2022-07-juicebox#h-01-oracle-data-feed-can-be-outdated-yet-used-anyways-which-will-impact-payment-logic</v>
      </c>
      <c r="F183" s="5" t="s">
        <v>2998</v>
      </c>
      <c r="G183" s="1" t="s">
        <v>823</v>
      </c>
      <c r="H183" s="1" t="s">
        <v>2645</v>
      </c>
      <c r="I183" s="1" t="s">
        <v>3044</v>
      </c>
      <c r="J183" s="1"/>
      <c r="K183" s="5" t="s">
        <v>2999</v>
      </c>
    </row>
    <row r="184" customFormat="false" ht="15" hidden="false" customHeight="false" outlineLevel="0" collapsed="false">
      <c r="A184" s="1" t="n">
        <v>143</v>
      </c>
      <c r="B184" s="1" t="n">
        <v>3</v>
      </c>
      <c r="C184" s="1" t="n">
        <f aca="false">COUNTIFS(c6raw!B:B, Table6[[#This Row],[ID]], c6raw!E:E, Table6[[#This Row],[function]],  c6raw!F:F, Table6[[#This Row],[bug type]])</f>
        <v>1</v>
      </c>
      <c r="D184" s="1" t="n">
        <v>2</v>
      </c>
      <c r="E184" s="1" t="str">
        <f aca="false">VLOOKUP(Table6[[#This Row],[ID]], riskBugs!A:I, 9, 0)</f>
        <v> https://code4rena.com/reports/2022-07-juicebox#h-01-oracle-data-feed-can-be-outdated-yet-used-anyways-which-will-impact-payment-logic</v>
      </c>
      <c r="F184" s="1" t="s">
        <v>3000</v>
      </c>
      <c r="G184" s="1" t="s">
        <v>823</v>
      </c>
      <c r="H184" s="1" t="s">
        <v>2654</v>
      </c>
      <c r="I184" s="1" t="s">
        <v>2005</v>
      </c>
      <c r="J184" s="1"/>
      <c r="K184" s="1" t="s">
        <v>3001</v>
      </c>
    </row>
    <row r="185" customFormat="false" ht="15" hidden="false" customHeight="false" outlineLevel="0" collapsed="false">
      <c r="A185" s="5" t="n">
        <v>143</v>
      </c>
      <c r="B185" s="5" t="n">
        <v>3</v>
      </c>
      <c r="C185" s="5" t="n">
        <f aca="false">COUNTIFS(c6raw!B:B, Table6[[#This Row],[ID]], c6raw!E:E, Table6[[#This Row],[function]],  c6raw!F:F, Table6[[#This Row],[bug type]])</f>
        <v>1</v>
      </c>
      <c r="D185" s="5" t="n">
        <v>3</v>
      </c>
      <c r="E185" s="5" t="str">
        <f aca="false">VLOOKUP(Table6[[#This Row],[ID]], riskBugs!A:I, 9, 0)</f>
        <v> https://code4rena.com/reports/2022-07-juicebox#h-01-oracle-data-feed-can-be-outdated-yet-used-anyways-which-will-impact-payment-logic</v>
      </c>
      <c r="F185" s="5" t="s">
        <v>3002</v>
      </c>
      <c r="G185" s="1" t="s">
        <v>823</v>
      </c>
      <c r="H185" s="1" t="s">
        <v>2649</v>
      </c>
      <c r="I185" s="1" t="s">
        <v>2005</v>
      </c>
      <c r="J185" s="1"/>
      <c r="K185" s="5" t="s">
        <v>3003</v>
      </c>
    </row>
    <row r="186" customFormat="false" ht="15" hidden="false" customHeight="false" outlineLevel="0" collapsed="false">
      <c r="A186" s="1" t="n">
        <v>143</v>
      </c>
      <c r="B186" s="1" t="n">
        <v>3</v>
      </c>
      <c r="C186" s="1" t="n">
        <f aca="false">COUNTIFS(c6raw!B:B, Table6[[#This Row],[ID]], c6raw!E:E, Table6[[#This Row],[function]],  c6raw!F:F, Table6[[#This Row],[bug type]])</f>
        <v>1</v>
      </c>
      <c r="D186" s="1" t="n">
        <v>1</v>
      </c>
      <c r="E186" s="1" t="str">
        <f aca="false">VLOOKUP(Table6[[#This Row],[ID]], riskBugs!A:I, 9, 0)</f>
        <v> https://code4rena.com/reports/2022-07-juicebox#h-01-oracle-data-feed-can-be-outdated-yet-used-anyways-which-will-impact-payment-logic</v>
      </c>
      <c r="F186" s="1" t="s">
        <v>2996</v>
      </c>
      <c r="G186" s="1" t="s">
        <v>823</v>
      </c>
      <c r="H186" s="1" t="s">
        <v>2654</v>
      </c>
      <c r="I186" s="1" t="s">
        <v>2005</v>
      </c>
      <c r="J186" s="1"/>
      <c r="K186" s="1" t="s">
        <v>3004</v>
      </c>
    </row>
    <row r="187" customFormat="false" ht="15" hidden="false" customHeight="false" outlineLevel="0" collapsed="false">
      <c r="A187" s="5" t="n">
        <v>192</v>
      </c>
      <c r="B187" s="5" t="n">
        <v>1</v>
      </c>
      <c r="C187" s="5" t="n">
        <f aca="false">COUNTIFS(c6raw!B:B, Table6[[#This Row],[ID]], c6raw!E:E, Table6[[#This Row],[function]],  c6raw!F:F, Table6[[#This Row],[bug type]])</f>
        <v>2</v>
      </c>
      <c r="D187" s="5" t="n">
        <v>1</v>
      </c>
      <c r="E187" s="5" t="str">
        <f aca="false">VLOOKUP(Table6[[#This Row],[ID]], riskBugs!A:I, 9, 0)</f>
        <v> https://code4rena.com/reports/2022-12-tigris#h-01-locksol-assets-deposited-with-lockextendlock-function-are-lost</v>
      </c>
      <c r="F187" s="5" t="s">
        <v>1105</v>
      </c>
      <c r="G187" s="1" t="s">
        <v>857</v>
      </c>
      <c r="H187" s="1" t="s">
        <v>2654</v>
      </c>
      <c r="I187" s="1" t="s">
        <v>2051</v>
      </c>
      <c r="J187" s="1"/>
      <c r="K187" s="5" t="s">
        <v>3006</v>
      </c>
    </row>
    <row r="188" customFormat="false" ht="15" hidden="false" customHeight="false" outlineLevel="0" collapsed="false">
      <c r="A188" s="1" t="n">
        <v>192</v>
      </c>
      <c r="B188" s="1" t="n">
        <v>1</v>
      </c>
      <c r="C188" s="1" t="n">
        <f aca="false">COUNTIFS(c6raw!B:B, Table6[[#This Row],[ID]], c6raw!E:E, Table6[[#This Row],[function]],  c6raw!F:F, Table6[[#This Row],[bug type]])</f>
        <v>1</v>
      </c>
      <c r="D188" s="1" t="n">
        <v>2</v>
      </c>
      <c r="E188" s="1" t="str">
        <f aca="false">VLOOKUP(Table6[[#This Row],[ID]], riskBugs!A:I, 9, 0)</f>
        <v> https://code4rena.com/reports/2022-12-tigris#h-01-locksol-assets-deposited-with-lockextendlock-function-are-lost</v>
      </c>
      <c r="F188" s="1" t="s">
        <v>1107</v>
      </c>
      <c r="G188" s="1" t="s">
        <v>857</v>
      </c>
      <c r="H188" s="1" t="s">
        <v>2654</v>
      </c>
      <c r="I188" s="1" t="s">
        <v>2051</v>
      </c>
      <c r="J188" s="1"/>
      <c r="K188" s="1" t="s">
        <v>3007</v>
      </c>
    </row>
    <row r="189" customFormat="false" ht="15" hidden="false" customHeight="false" outlineLevel="0" collapsed="false">
      <c r="A189" s="5" t="n">
        <v>192</v>
      </c>
      <c r="B189" s="5" t="n">
        <v>1</v>
      </c>
      <c r="C189" s="5" t="n">
        <f aca="false">COUNTIFS(c6raw!B:B, Table6[[#This Row],[ID]], c6raw!E:E, Table6[[#This Row],[function]],  c6raw!F:F, Table6[[#This Row],[bug type]])</f>
        <v>1</v>
      </c>
      <c r="D189" s="5" t="n">
        <v>3</v>
      </c>
      <c r="E189" s="5" t="str">
        <f aca="false">VLOOKUP(Table6[[#This Row],[ID]], riskBugs!A:I, 9, 0)</f>
        <v> https://code4rena.com/reports/2022-12-tigris#h-01-locksol-assets-deposited-with-lockextendlock-function-are-lost</v>
      </c>
      <c r="F189" s="5" t="s">
        <v>1910</v>
      </c>
      <c r="G189" s="1" t="s">
        <v>857</v>
      </c>
      <c r="H189" s="1" t="s">
        <v>2645</v>
      </c>
      <c r="I189" s="1" t="s">
        <v>2005</v>
      </c>
      <c r="J189" s="1"/>
      <c r="K189" s="5" t="s">
        <v>3008</v>
      </c>
    </row>
    <row r="190" customFormat="false" ht="15" hidden="false" customHeight="false" outlineLevel="0" collapsed="false">
      <c r="A190" s="1" t="n">
        <v>192</v>
      </c>
      <c r="B190" s="1" t="n">
        <v>1</v>
      </c>
      <c r="C190" s="1" t="n">
        <f aca="false">COUNTIFS(c6raw!B:B, Table6[[#This Row],[ID]], c6raw!E:E, Table6[[#This Row],[function]],  c6raw!F:F, Table6[[#This Row],[bug type]])</f>
        <v>1</v>
      </c>
      <c r="D190" s="1" t="n">
        <v>4</v>
      </c>
      <c r="E190" s="1" t="str">
        <f aca="false">VLOOKUP(Table6[[#This Row],[ID]], riskBugs!A:I, 9, 0)</f>
        <v> https://code4rena.com/reports/2022-12-tigris#h-01-locksol-assets-deposited-with-lockextendlock-function-are-lost</v>
      </c>
      <c r="F190" s="1" t="s">
        <v>3009</v>
      </c>
      <c r="G190" s="1" t="s">
        <v>857</v>
      </c>
      <c r="H190" s="1" t="s">
        <v>2649</v>
      </c>
      <c r="I190" s="1" t="s">
        <v>3070</v>
      </c>
      <c r="J190" s="1"/>
      <c r="K190" s="1" t="s">
        <v>3010</v>
      </c>
    </row>
    <row r="191" customFormat="false" ht="15" hidden="false" customHeight="false" outlineLevel="0" collapsed="false">
      <c r="A191" s="5" t="n">
        <v>192</v>
      </c>
      <c r="B191" s="5" t="n">
        <v>1</v>
      </c>
      <c r="C191" s="5" t="n">
        <f aca="false">COUNTIFS(c6raw!B:B, Table6[[#This Row],[ID]], c6raw!E:E, Table6[[#This Row],[function]],  c6raw!F:F, Table6[[#This Row],[bug type]])</f>
        <v>1</v>
      </c>
      <c r="D191" s="5" t="n">
        <v>5</v>
      </c>
      <c r="E191" s="5" t="str">
        <f aca="false">VLOOKUP(Table6[[#This Row],[ID]], riskBugs!A:I, 9, 0)</f>
        <v> https://code4rena.com/reports/2022-12-tigris#h-01-locksol-assets-deposited-with-lockextendlock-function-are-lost</v>
      </c>
      <c r="F191" s="5" t="s">
        <v>3011</v>
      </c>
      <c r="G191" s="1" t="s">
        <v>857</v>
      </c>
      <c r="H191" s="1" t="s">
        <v>2654</v>
      </c>
      <c r="I191" s="1" t="s">
        <v>2005</v>
      </c>
      <c r="J191" s="1"/>
      <c r="K191" s="5" t="s">
        <v>3012</v>
      </c>
    </row>
    <row r="192" customFormat="false" ht="15" hidden="false" customHeight="false" outlineLevel="0" collapsed="false">
      <c r="A192" s="1" t="n">
        <v>192</v>
      </c>
      <c r="B192" s="1" t="n">
        <v>2</v>
      </c>
      <c r="C192" s="1" t="n">
        <f aca="false">COUNTIFS(c6raw!B:B, Table6[[#This Row],[ID]], c6raw!E:E, Table6[[#This Row],[function]],  c6raw!F:F, Table6[[#This Row],[bug type]])</f>
        <v>2</v>
      </c>
      <c r="D192" s="1" t="n">
        <v>1</v>
      </c>
      <c r="E192" s="1" t="str">
        <f aca="false">VLOOKUP(Table6[[#This Row],[ID]], riskBugs!A:I, 9, 0)</f>
        <v> https://code4rena.com/reports/2022-12-tigris#h-01-locksol-assets-deposited-with-lockextendlock-function-are-lost</v>
      </c>
      <c r="F192" s="1" t="s">
        <v>1105</v>
      </c>
      <c r="G192" s="1" t="s">
        <v>857</v>
      </c>
      <c r="H192" s="1" t="s">
        <v>2649</v>
      </c>
      <c r="I192" s="1" t="s">
        <v>3071</v>
      </c>
      <c r="J192" s="1"/>
      <c r="K192" s="1" t="s">
        <v>3013</v>
      </c>
    </row>
    <row r="193" customFormat="false" ht="15" hidden="false" customHeight="false" outlineLevel="0" collapsed="false">
      <c r="A193" s="39" t="n">
        <v>192</v>
      </c>
      <c r="B193" s="39" t="n">
        <v>3</v>
      </c>
      <c r="C193" s="39" t="n">
        <f aca="false">COUNTIFS(c6raw!B:B, Table6[[#This Row],[ID]], c6raw!E:E, Table6[[#This Row],[function]],  c6raw!F:F, Table6[[#This Row],[bug type]])</f>
        <v>1</v>
      </c>
      <c r="D193" s="39" t="n">
        <v>2</v>
      </c>
      <c r="E193" s="39" t="str">
        <f aca="false">VLOOKUP(Table6[[#This Row],[ID]], riskBugs!A:I, 9, 0)</f>
        <v> https://code4rena.com/reports/2022-12-tigris#h-01-locksol-assets-deposited-with-lockextendlock-function-are-lost</v>
      </c>
      <c r="F193" s="39" t="s">
        <v>1107</v>
      </c>
      <c r="G193" s="1" t="s">
        <v>857</v>
      </c>
      <c r="H193" s="32" t="s">
        <v>2649</v>
      </c>
      <c r="I193" s="32" t="s">
        <v>3072</v>
      </c>
      <c r="J193" s="32"/>
      <c r="K193" s="39" t="s">
        <v>3016</v>
      </c>
    </row>
    <row r="1048576" customFormat="false" ht="15" hidden="false" customHeight="true" outlineLevel="0" collapsed="false"/>
  </sheetData>
  <hyperlinks>
    <hyperlink ref="J3" r:id="rId1" location="h-02-missing-fromtoken--totoken-check" display="https://code4rena.com/reports/2021-04-marginswap/#h-02-missing-fromtoken--totoken-check"/>
    <hyperlink ref="J4" r:id="rId2" location="m-03-no-entry-checks-in-crossswapexacttokensforexacttokens" display="https://code4rena.com/reports/2021-04-marginswap/#m-03-no-entry-checks-in-crossswapexacttokensforexacttokens"/>
    <hyperlink ref="J6" r:id="rId3" location="h-04-proposals-can-be-cancelled" display="https://code4rena.com/reports/2021-04-vader/#h-04-proposals-can-be-cancelled"/>
    <hyperlink ref="J11" r:id="rId4" location="h-18--vault-rewards-can-be-gamed" display="https://code4rena.com/reports/2021-04-vader/#h-18--vault-rewards-can-be-gamed"/>
    <hyperlink ref="J22" r:id="rId5" location="l-01-missing-checks-on-debt-maxmin-limits-could-cause-pour-to-revert" display="https://code4rena.com/reports/2021-05-yield/#l-01-missing-checks-on-debt-maxmin-limits-could-cause-pour-to-revert"/>
    <hyperlink ref="J32" r:id="rId6" location="l-07-using-txgasprice-to-prevent-front-running-may-lead-to-failed-liquidations" display="https://code4rena.com/reports/2021-06-tracer/#l-07-using-txgasprice-to-prevent-front-running-may-lead-to-failed-liquidations"/>
    <hyperlink ref="J63" r:id="rId7" location="h-03-wrappedibbtceth-contract-will-use-stalled-price-for-mintburn-if-updatepricepershare-wasnt-run-properly" display="https://code4rena.com/reports/2021-10-badgerdao/#h-03-wrappedibbtceth-contract-will-use-stalled-price-for-mintburn-if-updatepricepershare-wasnt-run-properly"/>
    <hyperlink ref="J64" r:id="rId8" location="h-03-wrappedibbtceth-contract-will-use-stalled-price-for-mintburn-if-updatepricepershare-wasnt-run-properly" display="https://code4rena.com/reports/2021-10-badgerdao/#h-03-wrappedibbtceth-contract-will-use-stalled-price-for-mintburn-if-updatepricepershare-wasnt-run-properly"/>
    <hyperlink ref="J66" r:id="rId9" location="h-03-wrappedibbtceth-contract-will-use-stalled-price-for-mintburn-if-updatepricepershare-wasnt-run-properly" display="https://code4rena.com/reports/2021-10-badgerdao/#h-03-wrappedibbtceth-contract-will-use-stalled-price-for-mintburn-if-updatepricepershare-wasnt-run-properly"/>
    <hyperlink ref="J68" r:id="rId10" location="h-03-wrappedibbtceth-contract-will-use-stalled-price-for-mintburn-if-updatepricepershare-wasnt-run-properly" display="https://code4rena.com/reports/2021-10-badgerdao/#h-03-wrappedibbtceth-contract-will-use-stalled-price-for-mintburn-if-updatepricepershare-wasnt-run-properly"/>
    <hyperlink ref="J102" r:id="rId11" location="h-07-savingsaccount-withdrawall-and-switchstrategy-can-freeze-user-funds-by-ignoring-possible-strategy-liquidity-issues" display="https://code4rena.com/reports/2021-12-sublime/#h-07-savingsaccount-withdrawall-and-switchstrategy-can-freeze-user-funds-by-ignoring-possible-strategy-liquidity-issues"/>
    <hyperlink ref="J124" r:id="rId12" location="m-02-owner-can-call-applycover-multiple-times-in-pooltemplatesol" display="https://code4rena.com/reports/2022-01-insure/#m-02-owner-can-call-applycover-multiple-times-in-pooltemplatesol"/>
    <hyperlink ref="J175" r:id="rId13" location="m-01-possible-lost-msgvalue" display="https://code4rena.com/reports/2022-05-sturdy/#m-01-possible-lost-msgvalue"/>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6" activeCellId="0" sqref="G14:I22"/>
    </sheetView>
  </sheetViews>
  <sheetFormatPr defaultColWidth="8.4296875" defaultRowHeight="14.5" zeroHeight="false" outlineLevelRow="0" outlineLevelCol="0"/>
  <cols>
    <col collapsed="false" customWidth="true" hidden="false" outlineLevel="0" max="5" min="5" style="0" width="10"/>
    <col collapsed="false" customWidth="true" hidden="false" outlineLevel="0" max="6" min="6" style="0" width="28"/>
    <col collapsed="false" customWidth="true" hidden="false" outlineLevel="0" max="7" min="7" style="0" width="13"/>
    <col collapsed="false" customWidth="true" hidden="false" outlineLevel="0" max="9" min="8" style="0" width="10.45"/>
  </cols>
  <sheetData>
    <row r="1" customFormat="false" ht="14.5" hidden="false" customHeight="false" outlineLevel="0" collapsed="false">
      <c r="A1" s="40" t="s">
        <v>1161</v>
      </c>
      <c r="B1" s="37" t="s">
        <v>21</v>
      </c>
      <c r="C1" s="37" t="s">
        <v>1162</v>
      </c>
      <c r="D1" s="37" t="s">
        <v>1163</v>
      </c>
      <c r="E1" s="37" t="s">
        <v>2085</v>
      </c>
      <c r="F1" s="37" t="s">
        <v>1165</v>
      </c>
      <c r="G1" s="37" t="s">
        <v>1168</v>
      </c>
      <c r="H1" s="12" t="s">
        <v>1169</v>
      </c>
      <c r="I1" s="12" t="s">
        <v>3073</v>
      </c>
    </row>
    <row r="2" customFormat="false" ht="14.5" hidden="false" customHeight="false" outlineLevel="0" collapsed="false">
      <c r="A2" s="14" t="s">
        <v>1214</v>
      </c>
      <c r="B2" s="14" t="n">
        <v>5</v>
      </c>
      <c r="C2" s="14" t="n">
        <v>1</v>
      </c>
      <c r="D2" s="14" t="n">
        <v>5</v>
      </c>
      <c r="E2" s="14" t="s">
        <v>1609</v>
      </c>
      <c r="F2" s="14" t="s">
        <v>2560</v>
      </c>
      <c r="G2" s="14" t="s">
        <v>3074</v>
      </c>
      <c r="H2" s="14"/>
      <c r="I2" s="14"/>
    </row>
    <row r="3" customFormat="false" ht="14.5" hidden="false" customHeight="false" outlineLevel="0" collapsed="false">
      <c r="A3" s="14" t="s">
        <v>1227</v>
      </c>
      <c r="B3" s="14" t="n">
        <v>5</v>
      </c>
      <c r="C3" s="14" t="n">
        <v>2</v>
      </c>
      <c r="D3" s="14" t="n">
        <v>3</v>
      </c>
      <c r="E3" s="14" t="s">
        <v>2455</v>
      </c>
      <c r="F3" s="14" t="s">
        <v>3075</v>
      </c>
      <c r="G3" s="14" t="s">
        <v>3076</v>
      </c>
      <c r="H3" s="14"/>
      <c r="I3" s="14"/>
    </row>
    <row r="4" customFormat="false" ht="14.5" hidden="false" customHeight="false" outlineLevel="0" collapsed="false">
      <c r="A4" s="14" t="s">
        <v>1227</v>
      </c>
      <c r="B4" s="14" t="n">
        <v>5</v>
      </c>
      <c r="C4" s="14" t="n">
        <v>2</v>
      </c>
      <c r="D4" s="14" t="n">
        <v>1</v>
      </c>
      <c r="E4" s="14" t="s">
        <v>1259</v>
      </c>
      <c r="F4" s="14" t="s">
        <v>3077</v>
      </c>
      <c r="G4" s="14" t="s">
        <v>3078</v>
      </c>
      <c r="H4" s="14"/>
      <c r="I4" s="14"/>
    </row>
    <row r="5" customFormat="false" ht="14.5" hidden="false" customHeight="false" outlineLevel="0" collapsed="false">
      <c r="A5" s="14" t="s">
        <v>1227</v>
      </c>
      <c r="B5" s="14" t="n">
        <v>5</v>
      </c>
      <c r="C5" s="14" t="n">
        <v>2</v>
      </c>
      <c r="D5" s="14" t="n">
        <v>5</v>
      </c>
      <c r="E5" s="14" t="s">
        <v>1794</v>
      </c>
      <c r="F5" s="14" t="s">
        <v>3077</v>
      </c>
      <c r="G5" s="14" t="s">
        <v>3079</v>
      </c>
      <c r="H5" s="14"/>
      <c r="I5" s="14"/>
    </row>
    <row r="6" customFormat="false" ht="14.5" hidden="false" customHeight="false" outlineLevel="0" collapsed="false">
      <c r="A6" s="14" t="s">
        <v>1252</v>
      </c>
      <c r="B6" s="14" t="n">
        <v>5</v>
      </c>
      <c r="C6" s="14" t="n">
        <v>3</v>
      </c>
      <c r="D6" s="14" t="n">
        <v>4</v>
      </c>
      <c r="E6" s="14" t="s">
        <v>2663</v>
      </c>
      <c r="F6" s="14" t="s">
        <v>3080</v>
      </c>
      <c r="G6" s="14" t="s">
        <v>3081</v>
      </c>
      <c r="H6" s="14"/>
      <c r="I6" s="14"/>
    </row>
    <row r="7" customFormat="false" ht="14.5" hidden="false" customHeight="false" outlineLevel="0" collapsed="false">
      <c r="A7" s="14" t="s">
        <v>2127</v>
      </c>
      <c r="B7" s="14" t="n">
        <v>19</v>
      </c>
      <c r="C7" s="14" t="n">
        <v>2</v>
      </c>
      <c r="D7" s="14" t="n">
        <v>5</v>
      </c>
      <c r="E7" s="14" t="s">
        <v>1957</v>
      </c>
      <c r="F7" s="14" t="s">
        <v>3082</v>
      </c>
      <c r="G7" s="14" t="s">
        <v>3083</v>
      </c>
      <c r="H7" s="14"/>
      <c r="I7" s="14"/>
    </row>
    <row r="8" customFormat="false" ht="14.5" hidden="false" customHeight="false" outlineLevel="0" collapsed="false">
      <c r="A8" s="14" t="s">
        <v>927</v>
      </c>
      <c r="B8" s="14" t="n">
        <v>20</v>
      </c>
      <c r="C8" s="14" t="n">
        <v>1</v>
      </c>
      <c r="D8" s="14" t="n">
        <v>4</v>
      </c>
      <c r="E8" s="14" t="s">
        <v>2138</v>
      </c>
      <c r="F8" s="14" t="s">
        <v>3084</v>
      </c>
      <c r="G8" s="14" t="s">
        <v>3085</v>
      </c>
      <c r="H8" s="14"/>
      <c r="I8" s="14"/>
    </row>
    <row r="9" customFormat="false" ht="14.5" hidden="false" customHeight="false" outlineLevel="0" collapsed="false">
      <c r="A9" s="14" t="s">
        <v>927</v>
      </c>
      <c r="B9" s="14" t="n">
        <v>20</v>
      </c>
      <c r="C9" s="14" t="n">
        <v>1</v>
      </c>
      <c r="D9" s="14" t="n">
        <v>5</v>
      </c>
      <c r="E9" s="14" t="s">
        <v>928</v>
      </c>
      <c r="F9" s="14" t="s">
        <v>1329</v>
      </c>
      <c r="G9" s="14" t="s">
        <v>3086</v>
      </c>
      <c r="H9" s="14"/>
      <c r="I9" s="14"/>
    </row>
    <row r="10" customFormat="false" ht="14.5" hidden="false" customHeight="false" outlineLevel="0" collapsed="false">
      <c r="A10" s="14" t="s">
        <v>950</v>
      </c>
      <c r="B10" s="14" t="n">
        <v>20</v>
      </c>
      <c r="C10" s="14" t="n">
        <v>2</v>
      </c>
      <c r="D10" s="14" t="n">
        <v>3</v>
      </c>
      <c r="E10" s="14" t="s">
        <v>3087</v>
      </c>
      <c r="F10" s="14" t="s">
        <v>3088</v>
      </c>
      <c r="G10" s="14" t="s">
        <v>3089</v>
      </c>
      <c r="H10" s="14"/>
      <c r="I10" s="14"/>
    </row>
    <row r="11" customFormat="false" ht="14.5" hidden="false" customHeight="false" outlineLevel="0" collapsed="false">
      <c r="A11" s="14" t="s">
        <v>950</v>
      </c>
      <c r="B11" s="14" t="n">
        <v>20</v>
      </c>
      <c r="C11" s="14" t="n">
        <v>2</v>
      </c>
      <c r="D11" s="14" t="n">
        <v>2</v>
      </c>
      <c r="E11" s="14" t="s">
        <v>3090</v>
      </c>
      <c r="F11" s="14" t="s">
        <v>3091</v>
      </c>
      <c r="G11" s="14" t="s">
        <v>3092</v>
      </c>
      <c r="H11" s="14"/>
      <c r="I11" s="14"/>
    </row>
    <row r="12" customFormat="false" ht="14.5" hidden="false" customHeight="false" outlineLevel="0" collapsed="false">
      <c r="A12" s="14" t="s">
        <v>965</v>
      </c>
      <c r="B12" s="14" t="n">
        <v>20</v>
      </c>
      <c r="C12" s="14" t="n">
        <v>3</v>
      </c>
      <c r="D12" s="14" t="n">
        <v>5</v>
      </c>
      <c r="E12" s="14" t="s">
        <v>3093</v>
      </c>
      <c r="F12" s="14" t="s">
        <v>1409</v>
      </c>
      <c r="G12" s="14" t="s">
        <v>3094</v>
      </c>
      <c r="H12" s="14"/>
      <c r="I12" s="14"/>
    </row>
    <row r="13" customFormat="false" ht="14.5" hidden="false" customHeight="false" outlineLevel="0" collapsed="false">
      <c r="A13" s="14" t="s">
        <v>965</v>
      </c>
      <c r="B13" s="14" t="n">
        <v>20</v>
      </c>
      <c r="C13" s="14" t="n">
        <v>3</v>
      </c>
      <c r="D13" s="14" t="n">
        <v>2</v>
      </c>
      <c r="E13" s="14" t="s">
        <v>3095</v>
      </c>
      <c r="F13" s="14" t="s">
        <v>1409</v>
      </c>
      <c r="G13" s="14" t="s">
        <v>3096</v>
      </c>
      <c r="H13" s="14" t="s">
        <v>3097</v>
      </c>
      <c r="I13" s="14"/>
    </row>
    <row r="14" customFormat="false" ht="14.5" hidden="false" customHeight="false" outlineLevel="0" collapsed="false">
      <c r="A14" s="14" t="s">
        <v>965</v>
      </c>
      <c r="B14" s="14" t="n">
        <v>20</v>
      </c>
      <c r="C14" s="14" t="n">
        <v>3</v>
      </c>
      <c r="D14" s="14" t="n">
        <v>4</v>
      </c>
      <c r="E14" s="14" t="s">
        <v>3098</v>
      </c>
      <c r="F14" s="14" t="s">
        <v>3099</v>
      </c>
      <c r="G14" s="14" t="s">
        <v>3100</v>
      </c>
      <c r="H14" s="14"/>
      <c r="I14" s="14"/>
    </row>
    <row r="15" customFormat="false" ht="14.5" hidden="false" customHeight="false" outlineLevel="0" collapsed="false">
      <c r="A15" s="14" t="s">
        <v>965</v>
      </c>
      <c r="B15" s="14" t="n">
        <v>20</v>
      </c>
      <c r="C15" s="14" t="n">
        <v>3</v>
      </c>
      <c r="D15" s="14" t="n">
        <v>5</v>
      </c>
      <c r="E15" s="14" t="s">
        <v>3101</v>
      </c>
      <c r="F15" s="14" t="s">
        <v>3102</v>
      </c>
      <c r="G15" s="14" t="s">
        <v>3103</v>
      </c>
      <c r="H15" s="14" t="s">
        <v>3104</v>
      </c>
      <c r="I15" s="14" t="s">
        <v>3105</v>
      </c>
    </row>
    <row r="16" customFormat="false" ht="14.5" hidden="false" customHeight="false" outlineLevel="0" collapsed="false">
      <c r="A16" s="14" t="s">
        <v>965</v>
      </c>
      <c r="B16" s="14" t="n">
        <v>20</v>
      </c>
      <c r="C16" s="14" t="n">
        <v>3</v>
      </c>
      <c r="D16" s="14" t="n">
        <v>2</v>
      </c>
      <c r="E16" s="14" t="s">
        <v>3106</v>
      </c>
      <c r="F16" s="14" t="s">
        <v>3107</v>
      </c>
      <c r="G16" s="14" t="s">
        <v>3108</v>
      </c>
      <c r="H16" s="14"/>
      <c r="I16" s="14"/>
    </row>
    <row r="17" customFormat="false" ht="14.5" hidden="false" customHeight="false" outlineLevel="0" collapsed="false">
      <c r="A17" s="14" t="s">
        <v>965</v>
      </c>
      <c r="B17" s="14" t="n">
        <v>20</v>
      </c>
      <c r="C17" s="14" t="n">
        <v>3</v>
      </c>
      <c r="D17" s="14" t="n">
        <v>3</v>
      </c>
      <c r="E17" s="14" t="s">
        <v>1231</v>
      </c>
      <c r="F17" s="14" t="s">
        <v>3109</v>
      </c>
      <c r="G17" s="14" t="s">
        <v>3110</v>
      </c>
      <c r="H17" s="14"/>
      <c r="I17" s="14"/>
    </row>
    <row r="18" customFormat="false" ht="14.5" hidden="false" customHeight="false" outlineLevel="0" collapsed="false">
      <c r="A18" s="14" t="s">
        <v>965</v>
      </c>
      <c r="B18" s="14" t="n">
        <v>20</v>
      </c>
      <c r="C18" s="14" t="n">
        <v>3</v>
      </c>
      <c r="D18" s="14" t="n">
        <v>4</v>
      </c>
      <c r="E18" s="14" t="s">
        <v>3090</v>
      </c>
      <c r="F18" s="14" t="s">
        <v>3099</v>
      </c>
      <c r="G18" s="14" t="s">
        <v>3111</v>
      </c>
      <c r="H18" s="14"/>
      <c r="I18" s="14"/>
    </row>
    <row r="19" customFormat="false" ht="14.5" hidden="false" customHeight="false" outlineLevel="0" collapsed="false">
      <c r="A19" s="14" t="s">
        <v>2732</v>
      </c>
      <c r="B19" s="14" t="n">
        <v>28</v>
      </c>
      <c r="C19" s="14" t="n">
        <v>1</v>
      </c>
      <c r="D19" s="14" t="n">
        <v>2</v>
      </c>
      <c r="E19" s="14" t="s">
        <v>1259</v>
      </c>
      <c r="F19" s="14" t="s">
        <v>3112</v>
      </c>
      <c r="G19" s="14" t="s">
        <v>3113</v>
      </c>
      <c r="H19" s="14"/>
      <c r="I19" s="14"/>
    </row>
    <row r="20" customFormat="false" ht="14.5" hidden="false" customHeight="false" outlineLevel="0" collapsed="false">
      <c r="A20" s="14" t="s">
        <v>2732</v>
      </c>
      <c r="B20" s="14" t="n">
        <v>28</v>
      </c>
      <c r="C20" s="14" t="n">
        <v>1</v>
      </c>
      <c r="D20" s="14" t="n">
        <v>3</v>
      </c>
      <c r="E20" s="14" t="s">
        <v>3114</v>
      </c>
      <c r="F20" s="14" t="s">
        <v>3115</v>
      </c>
      <c r="G20" s="14" t="s">
        <v>3116</v>
      </c>
      <c r="H20" s="14"/>
      <c r="I20" s="14"/>
    </row>
    <row r="21" customFormat="false" ht="14.5" hidden="false" customHeight="false" outlineLevel="0" collapsed="false">
      <c r="A21" s="14" t="s">
        <v>2732</v>
      </c>
      <c r="B21" s="14" t="n">
        <v>28</v>
      </c>
      <c r="C21" s="14" t="n">
        <v>1</v>
      </c>
      <c r="D21" s="14" t="n">
        <v>4</v>
      </c>
      <c r="E21" s="14" t="s">
        <v>3117</v>
      </c>
      <c r="F21" s="14" t="s">
        <v>3118</v>
      </c>
      <c r="G21" s="14" t="s">
        <v>3119</v>
      </c>
      <c r="H21" s="14"/>
      <c r="I21" s="14"/>
    </row>
    <row r="22" customFormat="false" ht="14.5" hidden="false" customHeight="false" outlineLevel="0" collapsed="false">
      <c r="A22" s="14" t="s">
        <v>2732</v>
      </c>
      <c r="B22" s="14" t="n">
        <v>28</v>
      </c>
      <c r="C22" s="14" t="n">
        <v>1</v>
      </c>
      <c r="D22" s="14" t="n">
        <v>5</v>
      </c>
      <c r="E22" s="14" t="s">
        <v>1056</v>
      </c>
      <c r="F22" s="14" t="s">
        <v>3120</v>
      </c>
      <c r="G22" s="14" t="s">
        <v>3121</v>
      </c>
      <c r="H22" s="14"/>
      <c r="I22" s="14"/>
    </row>
    <row r="23" customFormat="false" ht="14.5" hidden="false" customHeight="false" outlineLevel="0" collapsed="false">
      <c r="A23" s="14" t="s">
        <v>2751</v>
      </c>
      <c r="B23" s="14" t="n">
        <v>28</v>
      </c>
      <c r="C23" s="14" t="n">
        <v>3</v>
      </c>
      <c r="D23" s="14" t="n">
        <v>1</v>
      </c>
      <c r="E23" s="14" t="s">
        <v>3114</v>
      </c>
      <c r="F23" s="14" t="s">
        <v>3122</v>
      </c>
      <c r="G23" s="14" t="s">
        <v>3123</v>
      </c>
      <c r="H23" s="14"/>
      <c r="I23" s="14"/>
    </row>
    <row r="24" customFormat="false" ht="14.5" hidden="false" customHeight="false" outlineLevel="0" collapsed="false">
      <c r="A24" s="14" t="s">
        <v>2751</v>
      </c>
      <c r="B24" s="14" t="n">
        <v>28</v>
      </c>
      <c r="C24" s="14" t="n">
        <v>3</v>
      </c>
      <c r="D24" s="14" t="n">
        <v>3</v>
      </c>
      <c r="E24" s="14" t="s">
        <v>3114</v>
      </c>
      <c r="F24" s="14" t="s">
        <v>3122</v>
      </c>
      <c r="G24" s="14" t="s">
        <v>3124</v>
      </c>
      <c r="H24" s="14"/>
      <c r="I24" s="14"/>
    </row>
    <row r="25" customFormat="false" ht="14.5" hidden="false" customHeight="false" outlineLevel="0" collapsed="false">
      <c r="A25" s="14" t="s">
        <v>1395</v>
      </c>
      <c r="B25" s="14" t="n">
        <v>29</v>
      </c>
      <c r="C25" s="14" t="n">
        <v>3</v>
      </c>
      <c r="D25" s="14" t="n">
        <v>2</v>
      </c>
      <c r="E25" s="14" t="s">
        <v>1392</v>
      </c>
      <c r="F25" s="14" t="s">
        <v>3125</v>
      </c>
      <c r="G25" s="14" t="s">
        <v>3126</v>
      </c>
      <c r="H25" s="14"/>
      <c r="I25" s="14"/>
    </row>
    <row r="26" customFormat="false" ht="14.5" hidden="false" customHeight="false" outlineLevel="0" collapsed="false">
      <c r="A26" s="14" t="s">
        <v>3127</v>
      </c>
      <c r="B26" s="14" t="n">
        <v>30</v>
      </c>
      <c r="C26" s="14" t="n">
        <v>2</v>
      </c>
      <c r="D26" s="14" t="n">
        <v>5</v>
      </c>
      <c r="E26" s="14" t="s">
        <v>3128</v>
      </c>
      <c r="F26" s="14" t="s">
        <v>3129</v>
      </c>
      <c r="G26" s="14" t="s">
        <v>3130</v>
      </c>
      <c r="H26" s="14"/>
      <c r="I26" s="14"/>
    </row>
    <row r="27" customFormat="false" ht="14.5" hidden="false" customHeight="false" outlineLevel="0" collapsed="false">
      <c r="A27" s="14" t="s">
        <v>2407</v>
      </c>
      <c r="B27" s="14" t="n">
        <v>35</v>
      </c>
      <c r="C27" s="14" t="n">
        <v>2</v>
      </c>
      <c r="D27" s="14" t="n">
        <v>4</v>
      </c>
      <c r="E27" s="14" t="s">
        <v>3131</v>
      </c>
      <c r="F27" s="14" t="s">
        <v>3099</v>
      </c>
      <c r="G27" s="14" t="s">
        <v>3132</v>
      </c>
      <c r="H27" s="14"/>
      <c r="I27" s="14"/>
    </row>
    <row r="28" customFormat="false" ht="14.5" hidden="false" customHeight="false" outlineLevel="0" collapsed="false">
      <c r="A28" s="14" t="s">
        <v>2407</v>
      </c>
      <c r="B28" s="14" t="n">
        <v>35</v>
      </c>
      <c r="C28" s="14" t="n">
        <v>2</v>
      </c>
      <c r="D28" s="14" t="n">
        <v>5</v>
      </c>
      <c r="E28" s="14" t="s">
        <v>2297</v>
      </c>
      <c r="F28" s="14" t="s">
        <v>3133</v>
      </c>
      <c r="G28" s="14" t="s">
        <v>3134</v>
      </c>
      <c r="H28" s="14"/>
      <c r="I28" s="14"/>
    </row>
    <row r="29" customFormat="false" ht="14.5" hidden="false" customHeight="false" outlineLevel="0" collapsed="false">
      <c r="A29" s="14" t="s">
        <v>2407</v>
      </c>
      <c r="B29" s="14" t="n">
        <v>35</v>
      </c>
      <c r="C29" s="14" t="n">
        <v>2</v>
      </c>
      <c r="D29" s="14" t="n">
        <v>1</v>
      </c>
      <c r="E29" s="14" t="s">
        <v>3135</v>
      </c>
      <c r="F29" s="14" t="s">
        <v>3133</v>
      </c>
      <c r="G29" s="14" t="s">
        <v>3136</v>
      </c>
      <c r="H29" s="14"/>
      <c r="I29" s="14"/>
    </row>
    <row r="30" customFormat="false" ht="14.5" hidden="false" customHeight="false" outlineLevel="0" collapsed="false">
      <c r="A30" s="14" t="s">
        <v>2407</v>
      </c>
      <c r="B30" s="14" t="n">
        <v>35</v>
      </c>
      <c r="C30" s="14" t="n">
        <v>2</v>
      </c>
      <c r="D30" s="14" t="n">
        <v>2</v>
      </c>
      <c r="E30" s="14" t="s">
        <v>2297</v>
      </c>
      <c r="F30" s="14" t="s">
        <v>3133</v>
      </c>
      <c r="G30" s="14" t="s">
        <v>3137</v>
      </c>
      <c r="H30" s="14"/>
      <c r="I30" s="14"/>
    </row>
    <row r="31" customFormat="false" ht="14.5" hidden="false" customHeight="false" outlineLevel="0" collapsed="false">
      <c r="A31" s="14" t="s">
        <v>2415</v>
      </c>
      <c r="B31" s="14" t="n">
        <v>35</v>
      </c>
      <c r="C31" s="14" t="n">
        <v>3</v>
      </c>
      <c r="D31" s="14" t="n">
        <v>2</v>
      </c>
      <c r="E31" s="14" t="s">
        <v>3138</v>
      </c>
      <c r="F31" s="14" t="s">
        <v>3139</v>
      </c>
      <c r="G31" s="14" t="s">
        <v>3140</v>
      </c>
      <c r="H31" s="14"/>
      <c r="I31" s="14"/>
    </row>
    <row r="32" customFormat="false" ht="14.5" hidden="false" customHeight="false" outlineLevel="0" collapsed="false">
      <c r="A32" s="14" t="s">
        <v>2415</v>
      </c>
      <c r="B32" s="14" t="n">
        <v>35</v>
      </c>
      <c r="C32" s="14" t="n">
        <v>3</v>
      </c>
      <c r="D32" s="14" t="n">
        <v>3</v>
      </c>
      <c r="E32" s="14" t="s">
        <v>3141</v>
      </c>
      <c r="F32" s="14" t="s">
        <v>3142</v>
      </c>
      <c r="G32" s="14" t="s">
        <v>3143</v>
      </c>
      <c r="H32" s="14"/>
      <c r="I32" s="14"/>
    </row>
    <row r="33" customFormat="false" ht="14.5" hidden="false" customHeight="false" outlineLevel="0" collapsed="false">
      <c r="A33" s="14" t="s">
        <v>2156</v>
      </c>
      <c r="B33" s="14" t="n">
        <v>38</v>
      </c>
      <c r="C33" s="14" t="n">
        <v>2</v>
      </c>
      <c r="D33" s="14" t="n">
        <v>3</v>
      </c>
      <c r="E33" s="14" t="s">
        <v>3144</v>
      </c>
      <c r="F33" s="14" t="s">
        <v>3145</v>
      </c>
      <c r="G33" s="14" t="s">
        <v>3146</v>
      </c>
      <c r="H33" s="14"/>
      <c r="I33" s="14"/>
    </row>
    <row r="34" customFormat="false" ht="14.5" hidden="false" customHeight="false" outlineLevel="0" collapsed="false">
      <c r="A34" s="14" t="s">
        <v>3147</v>
      </c>
      <c r="B34" s="14" t="n">
        <v>41</v>
      </c>
      <c r="C34" s="14" t="n">
        <v>1</v>
      </c>
      <c r="D34" s="14" t="n">
        <v>3</v>
      </c>
      <c r="E34" s="14" t="s">
        <v>1179</v>
      </c>
      <c r="F34" s="14" t="s">
        <v>3148</v>
      </c>
      <c r="G34" s="14" t="s">
        <v>3149</v>
      </c>
      <c r="H34" s="14"/>
      <c r="I34" s="14"/>
    </row>
    <row r="35" customFormat="false" ht="14.5" hidden="false" customHeight="false" outlineLevel="0" collapsed="false">
      <c r="A35" s="14" t="s">
        <v>3147</v>
      </c>
      <c r="B35" s="14" t="n">
        <v>41</v>
      </c>
      <c r="C35" s="14" t="n">
        <v>1</v>
      </c>
      <c r="D35" s="14" t="n">
        <v>5</v>
      </c>
      <c r="E35" s="14" t="s">
        <v>3150</v>
      </c>
      <c r="F35" s="14" t="s">
        <v>3151</v>
      </c>
      <c r="G35" s="14" t="s">
        <v>3152</v>
      </c>
      <c r="H35" s="14"/>
      <c r="I35" s="14"/>
    </row>
    <row r="36" customFormat="false" ht="14.5" hidden="false" customHeight="false" outlineLevel="0" collapsed="false">
      <c r="A36" s="14" t="s">
        <v>990</v>
      </c>
      <c r="B36" s="14" t="n">
        <v>42</v>
      </c>
      <c r="C36" s="14" t="n">
        <v>1</v>
      </c>
      <c r="D36" s="14" t="n">
        <v>2</v>
      </c>
      <c r="E36" s="14" t="s">
        <v>3153</v>
      </c>
      <c r="F36" s="14" t="s">
        <v>3154</v>
      </c>
      <c r="G36" s="14" t="s">
        <v>3155</v>
      </c>
      <c r="H36" s="14"/>
      <c r="I36" s="14"/>
    </row>
    <row r="37" customFormat="false" ht="14.5" hidden="false" customHeight="false" outlineLevel="0" collapsed="false">
      <c r="A37" s="14" t="s">
        <v>990</v>
      </c>
      <c r="B37" s="14" t="n">
        <v>42</v>
      </c>
      <c r="C37" s="14" t="n">
        <v>1</v>
      </c>
      <c r="D37" s="14" t="n">
        <v>3</v>
      </c>
      <c r="E37" s="14" t="s">
        <v>3156</v>
      </c>
      <c r="F37" s="14" t="s">
        <v>3129</v>
      </c>
      <c r="G37" s="14" t="s">
        <v>3157</v>
      </c>
      <c r="H37" s="14"/>
      <c r="I37" s="14"/>
    </row>
    <row r="38" customFormat="false" ht="14.5" hidden="false" customHeight="false" outlineLevel="0" collapsed="false">
      <c r="A38" s="14" t="s">
        <v>990</v>
      </c>
      <c r="B38" s="14" t="n">
        <v>42</v>
      </c>
      <c r="C38" s="14" t="n">
        <v>1</v>
      </c>
      <c r="D38" s="14" t="n">
        <v>2</v>
      </c>
      <c r="E38" s="14" t="s">
        <v>3158</v>
      </c>
      <c r="F38" s="14" t="s">
        <v>3154</v>
      </c>
      <c r="G38" s="14" t="s">
        <v>3159</v>
      </c>
      <c r="H38" s="14"/>
      <c r="I38" s="14"/>
    </row>
    <row r="39" customFormat="false" ht="14.5" hidden="false" customHeight="false" outlineLevel="0" collapsed="false">
      <c r="A39" s="14" t="s">
        <v>990</v>
      </c>
      <c r="B39" s="14" t="n">
        <v>42</v>
      </c>
      <c r="C39" s="14" t="n">
        <v>1</v>
      </c>
      <c r="D39" s="14" t="n">
        <v>4</v>
      </c>
      <c r="E39" s="14" t="s">
        <v>993</v>
      </c>
      <c r="F39" s="14" t="s">
        <v>3160</v>
      </c>
      <c r="G39" s="14" t="s">
        <v>3161</v>
      </c>
      <c r="H39" s="14"/>
      <c r="I39" s="14"/>
    </row>
    <row r="40" customFormat="false" ht="14.5" hidden="false" customHeight="false" outlineLevel="0" collapsed="false">
      <c r="A40" s="14" t="s">
        <v>1003</v>
      </c>
      <c r="B40" s="14" t="n">
        <v>42</v>
      </c>
      <c r="C40" s="14" t="n">
        <v>2</v>
      </c>
      <c r="D40" s="14" t="n">
        <v>2</v>
      </c>
      <c r="E40" s="14" t="s">
        <v>3162</v>
      </c>
      <c r="F40" s="14" t="s">
        <v>3129</v>
      </c>
      <c r="G40" s="14" t="s">
        <v>3163</v>
      </c>
      <c r="H40" s="14"/>
      <c r="I40" s="14"/>
    </row>
    <row r="41" customFormat="false" ht="14.5" hidden="false" customHeight="false" outlineLevel="0" collapsed="false">
      <c r="A41" s="14" t="s">
        <v>1003</v>
      </c>
      <c r="B41" s="14" t="n">
        <v>42</v>
      </c>
      <c r="C41" s="14" t="n">
        <v>2</v>
      </c>
      <c r="D41" s="14" t="n">
        <v>2</v>
      </c>
      <c r="E41" s="14" t="s">
        <v>3164</v>
      </c>
      <c r="F41" s="14" t="s">
        <v>3129</v>
      </c>
      <c r="G41" s="14" t="s">
        <v>3165</v>
      </c>
      <c r="H41" s="14"/>
      <c r="I41" s="14"/>
    </row>
    <row r="42" customFormat="false" ht="14.5" hidden="false" customHeight="false" outlineLevel="0" collapsed="false">
      <c r="A42" s="14" t="s">
        <v>1003</v>
      </c>
      <c r="B42" s="14" t="n">
        <v>42</v>
      </c>
      <c r="C42" s="14" t="n">
        <v>2</v>
      </c>
      <c r="D42" s="14" t="n">
        <v>3</v>
      </c>
      <c r="E42" s="14" t="s">
        <v>3166</v>
      </c>
      <c r="F42" s="14" t="s">
        <v>3167</v>
      </c>
      <c r="G42" s="14" t="s">
        <v>3168</v>
      </c>
      <c r="H42" s="14"/>
      <c r="I42" s="14"/>
    </row>
    <row r="43" customFormat="false" ht="14.5" hidden="false" customHeight="false" outlineLevel="0" collapsed="false">
      <c r="A43" s="14" t="s">
        <v>1008</v>
      </c>
      <c r="B43" s="14" t="n">
        <v>42</v>
      </c>
      <c r="C43" s="14" t="n">
        <v>3</v>
      </c>
      <c r="D43" s="14" t="n">
        <v>4</v>
      </c>
      <c r="E43" s="14" t="s">
        <v>3164</v>
      </c>
      <c r="F43" s="14" t="s">
        <v>3169</v>
      </c>
      <c r="G43" s="14" t="s">
        <v>3170</v>
      </c>
      <c r="H43" s="14"/>
      <c r="I43" s="14"/>
    </row>
    <row r="44" customFormat="false" ht="14.5" hidden="false" customHeight="false" outlineLevel="0" collapsed="false">
      <c r="A44" s="14" t="s">
        <v>1008</v>
      </c>
      <c r="B44" s="14" t="n">
        <v>42</v>
      </c>
      <c r="C44" s="14" t="n">
        <v>3</v>
      </c>
      <c r="D44" s="14" t="n">
        <v>1</v>
      </c>
      <c r="E44" s="14" t="s">
        <v>3153</v>
      </c>
      <c r="F44" s="14" t="s">
        <v>3169</v>
      </c>
      <c r="G44" s="14" t="s">
        <v>3171</v>
      </c>
      <c r="H44" s="14"/>
      <c r="I44" s="14"/>
    </row>
    <row r="45" customFormat="false" ht="14.5" hidden="false" customHeight="false" outlineLevel="0" collapsed="false">
      <c r="A45" s="14" t="s">
        <v>1008</v>
      </c>
      <c r="B45" s="14" t="n">
        <v>42</v>
      </c>
      <c r="C45" s="14" t="n">
        <v>3</v>
      </c>
      <c r="D45" s="14" t="n">
        <v>2</v>
      </c>
      <c r="E45" s="14" t="s">
        <v>1179</v>
      </c>
      <c r="F45" s="14" t="s">
        <v>3129</v>
      </c>
      <c r="G45" s="14" t="s">
        <v>3172</v>
      </c>
      <c r="H45" s="14"/>
      <c r="I45" s="14"/>
    </row>
    <row r="46" customFormat="false" ht="14.5" hidden="false" customHeight="false" outlineLevel="0" collapsed="false">
      <c r="A46" s="14" t="s">
        <v>1008</v>
      </c>
      <c r="B46" s="14" t="n">
        <v>42</v>
      </c>
      <c r="C46" s="14" t="n">
        <v>3</v>
      </c>
      <c r="D46" s="14" t="n">
        <v>3</v>
      </c>
      <c r="E46" s="14" t="s">
        <v>1489</v>
      </c>
      <c r="F46" s="14" t="s">
        <v>3173</v>
      </c>
      <c r="G46" s="14" t="s">
        <v>3174</v>
      </c>
      <c r="H46" s="14"/>
      <c r="I46" s="14"/>
    </row>
    <row r="47" customFormat="false" ht="14.5" hidden="false" customHeight="false" outlineLevel="0" collapsed="false">
      <c r="A47" s="14" t="s">
        <v>1537</v>
      </c>
      <c r="B47" s="14" t="n">
        <v>47</v>
      </c>
      <c r="C47" s="14" t="n">
        <v>2</v>
      </c>
      <c r="D47" s="14" t="n">
        <v>3</v>
      </c>
      <c r="E47" s="14" t="s">
        <v>1561</v>
      </c>
      <c r="F47" s="14" t="s">
        <v>3175</v>
      </c>
      <c r="G47" s="14" t="s">
        <v>3176</v>
      </c>
      <c r="H47" s="14"/>
      <c r="I47" s="14"/>
    </row>
    <row r="48" customFormat="false" ht="14.5" hidden="false" customHeight="false" outlineLevel="0" collapsed="false">
      <c r="A48" s="14" t="s">
        <v>1537</v>
      </c>
      <c r="B48" s="14" t="n">
        <v>47</v>
      </c>
      <c r="C48" s="14" t="n">
        <v>2</v>
      </c>
      <c r="D48" s="14" t="n">
        <v>3</v>
      </c>
      <c r="E48" s="14" t="s">
        <v>1561</v>
      </c>
      <c r="F48" s="14" t="s">
        <v>3175</v>
      </c>
      <c r="G48" s="14" t="s">
        <v>3176</v>
      </c>
      <c r="H48" s="14"/>
      <c r="I48" s="14"/>
    </row>
    <row r="49" customFormat="false" ht="14.5" hidden="false" customHeight="false" outlineLevel="0" collapsed="false">
      <c r="A49" s="14" t="s">
        <v>1550</v>
      </c>
      <c r="B49" s="14" t="n">
        <v>47</v>
      </c>
      <c r="C49" s="14" t="n">
        <v>3</v>
      </c>
      <c r="D49" s="14" t="n">
        <v>3</v>
      </c>
      <c r="E49" s="14" t="s">
        <v>1534</v>
      </c>
      <c r="F49" s="14" t="s">
        <v>3177</v>
      </c>
      <c r="G49" s="14" t="s">
        <v>3178</v>
      </c>
      <c r="H49" s="14"/>
      <c r="I49" s="14"/>
    </row>
    <row r="50" customFormat="false" ht="14.5" hidden="false" customHeight="false" outlineLevel="0" collapsed="false">
      <c r="A50" s="14" t="s">
        <v>1550</v>
      </c>
      <c r="B50" s="14" t="n">
        <v>47</v>
      </c>
      <c r="C50" s="14" t="n">
        <v>3</v>
      </c>
      <c r="D50" s="14" t="n">
        <v>4</v>
      </c>
      <c r="E50" s="14" t="s">
        <v>1526</v>
      </c>
      <c r="F50" s="14" t="s">
        <v>3179</v>
      </c>
      <c r="G50" s="14" t="s">
        <v>3180</v>
      </c>
      <c r="H50" s="14"/>
      <c r="I50" s="14"/>
    </row>
    <row r="51" customFormat="false" ht="14.5" hidden="false" customHeight="false" outlineLevel="0" collapsed="false">
      <c r="A51" s="14" t="s">
        <v>1013</v>
      </c>
      <c r="B51" s="14" t="n">
        <v>52</v>
      </c>
      <c r="C51" s="14" t="n">
        <v>1</v>
      </c>
      <c r="D51" s="14" t="n">
        <v>1</v>
      </c>
      <c r="E51" s="14" t="s">
        <v>928</v>
      </c>
      <c r="F51" s="14" t="s">
        <v>3181</v>
      </c>
      <c r="G51" s="14" t="s">
        <v>3182</v>
      </c>
      <c r="H51" s="14"/>
      <c r="I51" s="14"/>
    </row>
    <row r="52" customFormat="false" ht="14.5" hidden="false" customHeight="false" outlineLevel="0" collapsed="false">
      <c r="A52" s="14" t="s">
        <v>1013</v>
      </c>
      <c r="B52" s="14" t="n">
        <v>52</v>
      </c>
      <c r="C52" s="14" t="n">
        <v>1</v>
      </c>
      <c r="D52" s="14" t="n">
        <v>1</v>
      </c>
      <c r="E52" s="14" t="s">
        <v>1489</v>
      </c>
      <c r="F52" s="14" t="s">
        <v>3183</v>
      </c>
      <c r="G52" s="14" t="s">
        <v>3184</v>
      </c>
      <c r="H52" s="14"/>
      <c r="I52" s="14"/>
    </row>
    <row r="53" customFormat="false" ht="14.5" hidden="false" customHeight="false" outlineLevel="0" collapsed="false">
      <c r="A53" s="14" t="s">
        <v>1013</v>
      </c>
      <c r="B53" s="14" t="n">
        <v>52</v>
      </c>
      <c r="C53" s="14" t="n">
        <v>1</v>
      </c>
      <c r="D53" s="14" t="n">
        <v>2</v>
      </c>
      <c r="E53" s="14" t="s">
        <v>3185</v>
      </c>
      <c r="F53" s="14" t="s">
        <v>3186</v>
      </c>
      <c r="G53" s="14" t="s">
        <v>3187</v>
      </c>
      <c r="H53" s="14"/>
      <c r="I53" s="14"/>
    </row>
    <row r="54" customFormat="false" ht="14.5" hidden="false" customHeight="false" outlineLevel="0" collapsed="false">
      <c r="A54" s="14" t="s">
        <v>1013</v>
      </c>
      <c r="B54" s="14" t="n">
        <v>52</v>
      </c>
      <c r="C54" s="14" t="n">
        <v>1</v>
      </c>
      <c r="D54" s="14" t="n">
        <v>4</v>
      </c>
      <c r="E54" s="14" t="s">
        <v>3188</v>
      </c>
      <c r="F54" s="14" t="s">
        <v>3189</v>
      </c>
      <c r="G54" s="14" t="s">
        <v>3190</v>
      </c>
      <c r="H54" s="14" t="s">
        <v>3191</v>
      </c>
      <c r="I54" s="14"/>
    </row>
    <row r="55" customFormat="false" ht="14.5" hidden="false" customHeight="false" outlineLevel="0" collapsed="false">
      <c r="A55" s="14" t="s">
        <v>1016</v>
      </c>
      <c r="B55" s="14" t="n">
        <v>52</v>
      </c>
      <c r="C55" s="14" t="n">
        <v>2</v>
      </c>
      <c r="D55" s="14" t="n">
        <v>6</v>
      </c>
      <c r="E55" s="14" t="s">
        <v>3192</v>
      </c>
      <c r="F55" s="14" t="s">
        <v>3193</v>
      </c>
      <c r="G55" s="14" t="s">
        <v>3194</v>
      </c>
      <c r="H55" s="14"/>
      <c r="I55" s="14"/>
    </row>
    <row r="56" customFormat="false" ht="14.5" hidden="false" customHeight="false" outlineLevel="0" collapsed="false">
      <c r="A56" s="14" t="s">
        <v>1016</v>
      </c>
      <c r="B56" s="14" t="n">
        <v>52</v>
      </c>
      <c r="C56" s="14" t="n">
        <v>2</v>
      </c>
      <c r="D56" s="14" t="n">
        <v>7</v>
      </c>
      <c r="E56" s="14" t="s">
        <v>2856</v>
      </c>
      <c r="F56" s="14" t="s">
        <v>3193</v>
      </c>
      <c r="G56" s="14" t="s">
        <v>3195</v>
      </c>
      <c r="H56" s="14"/>
      <c r="I56" s="14"/>
    </row>
    <row r="57" customFormat="false" ht="14.5" hidden="false" customHeight="false" outlineLevel="0" collapsed="false">
      <c r="A57" s="14" t="s">
        <v>1016</v>
      </c>
      <c r="B57" s="14" t="n">
        <v>52</v>
      </c>
      <c r="C57" s="14" t="n">
        <v>2</v>
      </c>
      <c r="D57" s="14" t="n">
        <v>8</v>
      </c>
      <c r="E57" s="14" t="s">
        <v>3196</v>
      </c>
      <c r="F57" s="14" t="s">
        <v>3193</v>
      </c>
      <c r="G57" s="14" t="s">
        <v>3197</v>
      </c>
      <c r="H57" s="14"/>
      <c r="I57" s="14"/>
    </row>
    <row r="58" customFormat="false" ht="14.5" hidden="false" customHeight="false" outlineLevel="0" collapsed="false">
      <c r="A58" s="14" t="s">
        <v>1016</v>
      </c>
      <c r="B58" s="14" t="n">
        <v>52</v>
      </c>
      <c r="C58" s="14" t="n">
        <v>2</v>
      </c>
      <c r="D58" s="14" t="n">
        <v>1</v>
      </c>
      <c r="E58" s="14" t="s">
        <v>1014</v>
      </c>
      <c r="F58" s="14" t="s">
        <v>3198</v>
      </c>
      <c r="G58" s="14" t="s">
        <v>3199</v>
      </c>
      <c r="H58" s="14"/>
      <c r="I58" s="14"/>
    </row>
    <row r="59" customFormat="false" ht="14.5" hidden="false" customHeight="false" outlineLevel="0" collapsed="false">
      <c r="A59" s="14" t="s">
        <v>1016</v>
      </c>
      <c r="B59" s="14" t="n">
        <v>52</v>
      </c>
      <c r="C59" s="14" t="n">
        <v>2</v>
      </c>
      <c r="D59" s="14" t="n">
        <v>3</v>
      </c>
      <c r="E59" s="14" t="s">
        <v>1228</v>
      </c>
      <c r="F59" s="14" t="s">
        <v>3200</v>
      </c>
      <c r="G59" s="14" t="s">
        <v>3201</v>
      </c>
      <c r="H59" s="14"/>
      <c r="I59" s="14"/>
    </row>
    <row r="60" customFormat="false" ht="14.5" hidden="false" customHeight="false" outlineLevel="0" collapsed="false">
      <c r="A60" s="14" t="s">
        <v>1029</v>
      </c>
      <c r="B60" s="14" t="n">
        <v>52</v>
      </c>
      <c r="C60" s="14" t="n">
        <v>3</v>
      </c>
      <c r="D60" s="14" t="n">
        <v>1</v>
      </c>
      <c r="E60" s="14" t="s">
        <v>1617</v>
      </c>
      <c r="F60" s="14" t="s">
        <v>3202</v>
      </c>
      <c r="G60" s="14" t="s">
        <v>3203</v>
      </c>
      <c r="H60" s="14"/>
      <c r="I60" s="14"/>
    </row>
    <row r="61" customFormat="false" ht="14.5" hidden="false" customHeight="false" outlineLevel="0" collapsed="false">
      <c r="A61" s="14" t="s">
        <v>1029</v>
      </c>
      <c r="B61" s="14" t="n">
        <v>52</v>
      </c>
      <c r="C61" s="14" t="n">
        <v>3</v>
      </c>
      <c r="D61" s="14" t="n">
        <v>1</v>
      </c>
      <c r="E61" s="14" t="s">
        <v>1592</v>
      </c>
      <c r="F61" s="14" t="s">
        <v>3204</v>
      </c>
      <c r="G61" s="14" t="s">
        <v>3205</v>
      </c>
      <c r="H61" s="14"/>
      <c r="I61" s="14"/>
    </row>
    <row r="62" customFormat="false" ht="14.5" hidden="false" customHeight="false" outlineLevel="0" collapsed="false">
      <c r="A62" s="14" t="s">
        <v>1029</v>
      </c>
      <c r="B62" s="14" t="n">
        <v>52</v>
      </c>
      <c r="C62" s="14" t="n">
        <v>3</v>
      </c>
      <c r="D62" s="14" t="n">
        <v>4</v>
      </c>
      <c r="E62" s="14" t="s">
        <v>1058</v>
      </c>
      <c r="F62" s="14" t="s">
        <v>3206</v>
      </c>
      <c r="G62" s="14" t="s">
        <v>3207</v>
      </c>
      <c r="H62" s="14"/>
      <c r="I62" s="14"/>
    </row>
    <row r="63" customFormat="false" ht="14.5" hidden="false" customHeight="false" outlineLevel="0" collapsed="false">
      <c r="A63" s="14" t="s">
        <v>1029</v>
      </c>
      <c r="B63" s="14" t="n">
        <v>52</v>
      </c>
      <c r="C63" s="14" t="n">
        <v>3</v>
      </c>
      <c r="D63" s="14" t="n">
        <v>5</v>
      </c>
      <c r="E63" s="14" t="s">
        <v>3192</v>
      </c>
      <c r="F63" s="14" t="s">
        <v>3208</v>
      </c>
      <c r="G63" s="14" t="s">
        <v>3209</v>
      </c>
      <c r="H63" s="14"/>
      <c r="I63" s="14"/>
    </row>
    <row r="64" customFormat="false" ht="14.5" hidden="false" customHeight="false" outlineLevel="0" collapsed="false">
      <c r="A64" s="14" t="s">
        <v>1029</v>
      </c>
      <c r="B64" s="14" t="n">
        <v>52</v>
      </c>
      <c r="C64" s="14" t="n">
        <v>3</v>
      </c>
      <c r="D64" s="14" t="n">
        <v>1</v>
      </c>
      <c r="E64" s="14" t="s">
        <v>1014</v>
      </c>
      <c r="F64" s="14" t="s">
        <v>3198</v>
      </c>
      <c r="G64" s="14" t="s">
        <v>3210</v>
      </c>
      <c r="H64" s="14"/>
      <c r="I64" s="14"/>
    </row>
    <row r="65" customFormat="false" ht="14.5" hidden="false" customHeight="false" outlineLevel="0" collapsed="false">
      <c r="A65" s="14" t="s">
        <v>1029</v>
      </c>
      <c r="B65" s="14" t="n">
        <v>52</v>
      </c>
      <c r="C65" s="14" t="n">
        <v>3</v>
      </c>
      <c r="D65" s="14" t="n">
        <v>1</v>
      </c>
      <c r="E65" s="14" t="s">
        <v>3211</v>
      </c>
      <c r="F65" s="14" t="s">
        <v>3212</v>
      </c>
      <c r="G65" s="14" t="s">
        <v>3213</v>
      </c>
      <c r="H65" s="14"/>
      <c r="I65" s="14"/>
    </row>
    <row r="66" customFormat="false" ht="14.5" hidden="false" customHeight="false" outlineLevel="0" collapsed="false">
      <c r="A66" s="14" t="s">
        <v>1029</v>
      </c>
      <c r="B66" s="14" t="n">
        <v>52</v>
      </c>
      <c r="C66" s="14" t="n">
        <v>3</v>
      </c>
      <c r="D66" s="14" t="n">
        <v>3</v>
      </c>
      <c r="E66" s="14" t="s">
        <v>3214</v>
      </c>
      <c r="F66" s="14" t="s">
        <v>2504</v>
      </c>
      <c r="G66" s="14" t="s">
        <v>3215</v>
      </c>
      <c r="H66" s="14"/>
      <c r="I66" s="14"/>
    </row>
    <row r="67" customFormat="false" ht="14.5" hidden="false" customHeight="false" outlineLevel="0" collapsed="false">
      <c r="A67" s="14" t="s">
        <v>3216</v>
      </c>
      <c r="B67" s="14" t="n">
        <v>53</v>
      </c>
      <c r="C67" s="14" t="n">
        <v>1</v>
      </c>
      <c r="D67" s="14" t="n">
        <v>1</v>
      </c>
      <c r="E67" s="14" t="s">
        <v>3217</v>
      </c>
      <c r="F67" s="14" t="s">
        <v>3218</v>
      </c>
      <c r="G67" s="14" t="s">
        <v>3219</v>
      </c>
      <c r="H67" s="14"/>
      <c r="I67" s="14"/>
    </row>
    <row r="68" customFormat="false" ht="14.5" hidden="false" customHeight="false" outlineLevel="0" collapsed="false">
      <c r="A68" s="14" t="s">
        <v>3220</v>
      </c>
      <c r="B68" s="14" t="n">
        <v>53</v>
      </c>
      <c r="C68" s="14" t="n">
        <v>2</v>
      </c>
      <c r="D68" s="14" t="n">
        <v>3</v>
      </c>
      <c r="E68" s="14" t="s">
        <v>3221</v>
      </c>
      <c r="F68" s="14" t="s">
        <v>3088</v>
      </c>
      <c r="G68" s="14" t="s">
        <v>3222</v>
      </c>
      <c r="H68" s="14"/>
      <c r="I68" s="14"/>
    </row>
    <row r="69" customFormat="false" ht="14.5" hidden="false" customHeight="false" outlineLevel="0" collapsed="false">
      <c r="A69" s="14" t="s">
        <v>3220</v>
      </c>
      <c r="B69" s="14" t="n">
        <v>53</v>
      </c>
      <c r="C69" s="14" t="n">
        <v>2</v>
      </c>
      <c r="D69" s="14" t="n">
        <v>4</v>
      </c>
      <c r="E69" s="14" t="s">
        <v>3223</v>
      </c>
      <c r="F69" s="14" t="s">
        <v>3224</v>
      </c>
      <c r="G69" s="14" t="s">
        <v>3225</v>
      </c>
      <c r="H69" s="14"/>
      <c r="I69" s="14"/>
    </row>
    <row r="70" customFormat="false" ht="14.5" hidden="false" customHeight="false" outlineLevel="0" collapsed="false">
      <c r="A70" s="14" t="s">
        <v>3220</v>
      </c>
      <c r="B70" s="14" t="n">
        <v>53</v>
      </c>
      <c r="C70" s="14" t="n">
        <v>2</v>
      </c>
      <c r="D70" s="14" t="n">
        <v>3</v>
      </c>
      <c r="E70" s="14" t="s">
        <v>3226</v>
      </c>
      <c r="F70" s="14" t="s">
        <v>1835</v>
      </c>
      <c r="G70" s="14" t="s">
        <v>3227</v>
      </c>
      <c r="H70" s="14"/>
      <c r="I70" s="14"/>
    </row>
    <row r="71" customFormat="false" ht="14.5" hidden="false" customHeight="false" outlineLevel="0" collapsed="false">
      <c r="A71" s="14" t="s">
        <v>3228</v>
      </c>
      <c r="B71" s="14" t="n">
        <v>53</v>
      </c>
      <c r="C71" s="14" t="n">
        <v>3</v>
      </c>
      <c r="D71" s="14" t="n">
        <v>5</v>
      </c>
      <c r="E71" s="14" t="s">
        <v>3229</v>
      </c>
      <c r="F71" s="14" t="s">
        <v>3218</v>
      </c>
      <c r="G71" s="14" t="s">
        <v>3230</v>
      </c>
      <c r="H71" s="14"/>
      <c r="I71" s="14"/>
    </row>
    <row r="72" customFormat="false" ht="14.5" hidden="false" customHeight="false" outlineLevel="0" collapsed="false">
      <c r="A72" s="14" t="s">
        <v>3228</v>
      </c>
      <c r="B72" s="14" t="n">
        <v>53</v>
      </c>
      <c r="C72" s="14" t="n">
        <v>3</v>
      </c>
      <c r="D72" s="14" t="n">
        <v>1</v>
      </c>
      <c r="E72" s="14" t="s">
        <v>3231</v>
      </c>
      <c r="F72" s="14" t="s">
        <v>3232</v>
      </c>
      <c r="G72" s="14" t="s">
        <v>3233</v>
      </c>
      <c r="H72" s="14"/>
      <c r="I72" s="14"/>
    </row>
    <row r="73" customFormat="false" ht="14.5" hidden="false" customHeight="false" outlineLevel="0" collapsed="false">
      <c r="A73" s="14" t="s">
        <v>2461</v>
      </c>
      <c r="B73" s="14" t="n">
        <v>54</v>
      </c>
      <c r="C73" s="14" t="n">
        <v>2</v>
      </c>
      <c r="D73" s="14" t="n">
        <v>3</v>
      </c>
      <c r="E73" s="14" t="s">
        <v>3234</v>
      </c>
      <c r="F73" s="14" t="s">
        <v>3235</v>
      </c>
      <c r="G73" s="14" t="s">
        <v>3236</v>
      </c>
      <c r="H73" s="14"/>
      <c r="I73" s="14"/>
    </row>
    <row r="74" customFormat="false" ht="14.5" hidden="false" customHeight="false" outlineLevel="0" collapsed="false">
      <c r="A74" s="14" t="s">
        <v>2461</v>
      </c>
      <c r="B74" s="14" t="n">
        <v>54</v>
      </c>
      <c r="C74" s="14" t="n">
        <v>2</v>
      </c>
      <c r="D74" s="14" t="n">
        <v>4</v>
      </c>
      <c r="E74" s="14" t="s">
        <v>3237</v>
      </c>
      <c r="F74" s="14" t="s">
        <v>3238</v>
      </c>
      <c r="G74" s="14" t="s">
        <v>3239</v>
      </c>
      <c r="H74" s="14"/>
      <c r="I74" s="14"/>
    </row>
    <row r="75" customFormat="false" ht="14.5" hidden="false" customHeight="false" outlineLevel="0" collapsed="false">
      <c r="A75" s="14" t="s">
        <v>1693</v>
      </c>
      <c r="B75" s="14" t="n">
        <v>59</v>
      </c>
      <c r="C75" s="14" t="n">
        <v>2</v>
      </c>
      <c r="D75" s="14" t="n">
        <v>3</v>
      </c>
      <c r="E75" s="14" t="s">
        <v>1228</v>
      </c>
      <c r="F75" s="14" t="s">
        <v>3240</v>
      </c>
      <c r="G75" s="14" t="s">
        <v>3241</v>
      </c>
      <c r="H75" s="14"/>
      <c r="I75" s="14"/>
    </row>
    <row r="76" customFormat="false" ht="14.5" hidden="false" customHeight="false" outlineLevel="0" collapsed="false">
      <c r="A76" s="14" t="s">
        <v>1715</v>
      </c>
      <c r="B76" s="14" t="n">
        <v>59</v>
      </c>
      <c r="C76" s="14" t="n">
        <v>3</v>
      </c>
      <c r="D76" s="14" t="n">
        <v>1</v>
      </c>
      <c r="E76" s="14" t="s">
        <v>3242</v>
      </c>
      <c r="F76" s="14" t="s">
        <v>3243</v>
      </c>
      <c r="G76" s="14" t="s">
        <v>3244</v>
      </c>
      <c r="H76" s="14"/>
      <c r="I76" s="14"/>
    </row>
    <row r="77" customFormat="false" ht="14.5" hidden="false" customHeight="false" outlineLevel="0" collapsed="false">
      <c r="A77" s="14" t="s">
        <v>1715</v>
      </c>
      <c r="B77" s="14" t="n">
        <v>59</v>
      </c>
      <c r="C77" s="14" t="n">
        <v>3</v>
      </c>
      <c r="D77" s="14" t="n">
        <v>2</v>
      </c>
      <c r="E77" s="14" t="s">
        <v>3245</v>
      </c>
      <c r="F77" s="14" t="s">
        <v>3243</v>
      </c>
      <c r="G77" s="14" t="s">
        <v>3246</v>
      </c>
      <c r="H77" s="14"/>
      <c r="I77" s="14"/>
    </row>
    <row r="78" customFormat="false" ht="14.5" hidden="false" customHeight="false" outlineLevel="0" collapsed="false">
      <c r="A78" s="14" t="s">
        <v>1738</v>
      </c>
      <c r="B78" s="14" t="n">
        <v>60</v>
      </c>
      <c r="C78" s="14" t="n">
        <v>3</v>
      </c>
      <c r="D78" s="14" t="n">
        <v>2</v>
      </c>
      <c r="E78" s="14" t="s">
        <v>3247</v>
      </c>
      <c r="F78" s="14" t="s">
        <v>3248</v>
      </c>
      <c r="G78" s="14" t="s">
        <v>3249</v>
      </c>
      <c r="H78" s="14"/>
      <c r="I78" s="14"/>
    </row>
    <row r="79" customFormat="false" ht="14.5" hidden="false" customHeight="false" outlineLevel="0" collapsed="false">
      <c r="A79" s="14" t="s">
        <v>1738</v>
      </c>
      <c r="B79" s="14" t="n">
        <v>60</v>
      </c>
      <c r="C79" s="14" t="n">
        <v>3</v>
      </c>
      <c r="D79" s="14" t="n">
        <v>4</v>
      </c>
      <c r="E79" s="14" t="s">
        <v>3247</v>
      </c>
      <c r="F79" s="14" t="s">
        <v>3250</v>
      </c>
      <c r="G79" s="14" t="s">
        <v>3251</v>
      </c>
      <c r="H79" s="14"/>
      <c r="I79" s="14"/>
    </row>
    <row r="80" customFormat="false" ht="14.5" hidden="false" customHeight="false" outlineLevel="0" collapsed="false">
      <c r="A80" s="14" t="s">
        <v>2844</v>
      </c>
      <c r="B80" s="14" t="n">
        <v>61</v>
      </c>
      <c r="C80" s="14" t="n">
        <v>3</v>
      </c>
      <c r="D80" s="14" t="n">
        <v>2</v>
      </c>
      <c r="E80" s="14" t="s">
        <v>3252</v>
      </c>
      <c r="F80" s="14" t="s">
        <v>3218</v>
      </c>
      <c r="G80" s="14" t="s">
        <v>3253</v>
      </c>
      <c r="H80" s="14"/>
      <c r="I80" s="14"/>
    </row>
    <row r="81" customFormat="false" ht="14.5" hidden="false" customHeight="false" outlineLevel="0" collapsed="false">
      <c r="A81" s="14" t="s">
        <v>3254</v>
      </c>
      <c r="B81" s="14" t="n">
        <v>69</v>
      </c>
      <c r="C81" s="14" t="n">
        <v>3</v>
      </c>
      <c r="D81" s="14" t="n">
        <v>2</v>
      </c>
      <c r="E81" s="14" t="s">
        <v>3255</v>
      </c>
      <c r="F81" s="14" t="s">
        <v>3256</v>
      </c>
      <c r="G81" s="14" t="s">
        <v>3257</v>
      </c>
      <c r="H81" s="14"/>
      <c r="I81" s="14"/>
    </row>
    <row r="82" customFormat="false" ht="14.5" hidden="false" customHeight="false" outlineLevel="0" collapsed="false">
      <c r="A82" s="14" t="s">
        <v>3254</v>
      </c>
      <c r="B82" s="14" t="n">
        <v>69</v>
      </c>
      <c r="C82" s="14" t="n">
        <v>3</v>
      </c>
      <c r="D82" s="14" t="n">
        <v>3</v>
      </c>
      <c r="E82" s="14" t="s">
        <v>3258</v>
      </c>
      <c r="F82" s="14" t="s">
        <v>3088</v>
      </c>
      <c r="G82" s="14" t="s">
        <v>3259</v>
      </c>
      <c r="H82" s="14"/>
      <c r="I82" s="14"/>
    </row>
    <row r="83" customFormat="false" ht="14.5" hidden="false" customHeight="false" outlineLevel="0" collapsed="false">
      <c r="A83" s="14" t="s">
        <v>1049</v>
      </c>
      <c r="B83" s="14" t="n">
        <v>70</v>
      </c>
      <c r="C83" s="14" t="n">
        <v>1</v>
      </c>
      <c r="D83" s="14" t="n">
        <v>1</v>
      </c>
      <c r="E83" s="14" t="s">
        <v>1789</v>
      </c>
      <c r="F83" s="14" t="s">
        <v>3260</v>
      </c>
      <c r="G83" s="14" t="s">
        <v>3261</v>
      </c>
      <c r="H83" s="14"/>
      <c r="I83" s="14"/>
    </row>
    <row r="84" customFormat="false" ht="14.5" hidden="false" customHeight="false" outlineLevel="0" collapsed="false">
      <c r="A84" s="14" t="s">
        <v>1060</v>
      </c>
      <c r="B84" s="14" t="n">
        <v>70</v>
      </c>
      <c r="C84" s="14" t="n">
        <v>2</v>
      </c>
      <c r="D84" s="14" t="n">
        <v>3</v>
      </c>
      <c r="E84" s="14" t="s">
        <v>3262</v>
      </c>
      <c r="F84" s="14" t="s">
        <v>3263</v>
      </c>
      <c r="G84" s="14" t="s">
        <v>3264</v>
      </c>
      <c r="H84" s="14"/>
      <c r="I84" s="14"/>
    </row>
    <row r="85" customFormat="false" ht="14.5" hidden="false" customHeight="false" outlineLevel="0" collapsed="false">
      <c r="A85" s="14" t="s">
        <v>1060</v>
      </c>
      <c r="B85" s="14" t="n">
        <v>70</v>
      </c>
      <c r="C85" s="14" t="n">
        <v>2</v>
      </c>
      <c r="D85" s="14" t="n">
        <v>4</v>
      </c>
      <c r="E85" s="14" t="s">
        <v>1786</v>
      </c>
      <c r="F85" s="14" t="s">
        <v>3265</v>
      </c>
      <c r="G85" s="14" t="s">
        <v>3266</v>
      </c>
      <c r="H85" s="14"/>
      <c r="I85" s="14"/>
    </row>
    <row r="86" customFormat="false" ht="14.5" hidden="false" customHeight="false" outlineLevel="0" collapsed="false">
      <c r="A86" s="14" t="s">
        <v>1068</v>
      </c>
      <c r="B86" s="14" t="n">
        <v>70</v>
      </c>
      <c r="C86" s="14" t="n">
        <v>3</v>
      </c>
      <c r="D86" s="14" t="n">
        <v>6</v>
      </c>
      <c r="E86" s="14" t="s">
        <v>1489</v>
      </c>
      <c r="F86" s="14" t="s">
        <v>3267</v>
      </c>
      <c r="G86" s="14" t="s">
        <v>3268</v>
      </c>
      <c r="H86" s="14"/>
      <c r="I86" s="14"/>
    </row>
    <row r="87" customFormat="false" ht="14.5" hidden="false" customHeight="false" outlineLevel="0" collapsed="false">
      <c r="A87" s="14" t="s">
        <v>1068</v>
      </c>
      <c r="B87" s="14" t="n">
        <v>70</v>
      </c>
      <c r="C87" s="14" t="n">
        <v>3</v>
      </c>
      <c r="D87" s="14" t="n">
        <v>1</v>
      </c>
      <c r="E87" s="14" t="s">
        <v>1592</v>
      </c>
      <c r="F87" s="14" t="s">
        <v>3269</v>
      </c>
      <c r="G87" s="14" t="s">
        <v>3270</v>
      </c>
      <c r="H87" s="14"/>
      <c r="I87" s="14"/>
    </row>
    <row r="88" customFormat="false" ht="14.5" hidden="false" customHeight="false" outlineLevel="0" collapsed="false">
      <c r="A88" s="14" t="s">
        <v>1076</v>
      </c>
      <c r="B88" s="14" t="n">
        <v>78</v>
      </c>
      <c r="C88" s="14" t="n">
        <v>1</v>
      </c>
      <c r="D88" s="14" t="n">
        <v>1</v>
      </c>
      <c r="E88" s="14" t="s">
        <v>2136</v>
      </c>
      <c r="F88" s="14" t="s">
        <v>3271</v>
      </c>
      <c r="G88" s="14" t="s">
        <v>3272</v>
      </c>
      <c r="H88" s="14"/>
      <c r="I88" s="14"/>
    </row>
    <row r="89" customFormat="false" ht="14.5" hidden="false" customHeight="false" outlineLevel="0" collapsed="false">
      <c r="A89" s="14" t="s">
        <v>1083</v>
      </c>
      <c r="B89" s="14" t="n">
        <v>78</v>
      </c>
      <c r="C89" s="14" t="n">
        <v>2</v>
      </c>
      <c r="D89" s="14" t="n">
        <v>2</v>
      </c>
      <c r="E89" s="14" t="s">
        <v>2136</v>
      </c>
      <c r="F89" s="14" t="s">
        <v>3271</v>
      </c>
      <c r="G89" s="14" t="s">
        <v>3273</v>
      </c>
      <c r="H89" s="14" t="s">
        <v>3274</v>
      </c>
      <c r="I89" s="14"/>
    </row>
    <row r="90" customFormat="false" ht="14.5" hidden="false" customHeight="false" outlineLevel="0" collapsed="false">
      <c r="A90" s="14" t="s">
        <v>1087</v>
      </c>
      <c r="B90" s="14" t="n">
        <v>78</v>
      </c>
      <c r="C90" s="14" t="n">
        <v>3</v>
      </c>
      <c r="D90" s="14" t="n">
        <v>1</v>
      </c>
      <c r="E90" s="14" t="s">
        <v>2136</v>
      </c>
      <c r="F90" s="14" t="s">
        <v>3275</v>
      </c>
      <c r="G90" s="14" t="s">
        <v>3276</v>
      </c>
      <c r="H90" s="14"/>
      <c r="I90" s="14"/>
    </row>
    <row r="91" customFormat="false" ht="14.5" hidden="false" customHeight="false" outlineLevel="0" collapsed="false">
      <c r="A91" s="14" t="s">
        <v>1091</v>
      </c>
      <c r="B91" s="14" t="n">
        <v>83</v>
      </c>
      <c r="C91" s="14" t="n">
        <v>1</v>
      </c>
      <c r="D91" s="14" t="n">
        <v>4</v>
      </c>
      <c r="E91" s="14" t="s">
        <v>1489</v>
      </c>
      <c r="F91" s="14" t="s">
        <v>3277</v>
      </c>
      <c r="G91" s="14" t="s">
        <v>3278</v>
      </c>
      <c r="H91" s="14"/>
      <c r="I91" s="14"/>
    </row>
    <row r="92" customFormat="false" ht="14.5" hidden="false" customHeight="false" outlineLevel="0" collapsed="false">
      <c r="A92" s="14" t="s">
        <v>1091</v>
      </c>
      <c r="B92" s="14" t="n">
        <v>83</v>
      </c>
      <c r="C92" s="14" t="n">
        <v>1</v>
      </c>
      <c r="D92" s="14" t="n">
        <v>5</v>
      </c>
      <c r="E92" s="14" t="s">
        <v>1179</v>
      </c>
      <c r="F92" s="14" t="s">
        <v>1515</v>
      </c>
      <c r="G92" s="14" t="s">
        <v>3279</v>
      </c>
      <c r="H92" s="14"/>
      <c r="I92" s="14"/>
    </row>
    <row r="93" customFormat="false" ht="14.5" hidden="false" customHeight="false" outlineLevel="0" collapsed="false">
      <c r="A93" s="14" t="s">
        <v>1098</v>
      </c>
      <c r="B93" s="14" t="n">
        <v>83</v>
      </c>
      <c r="C93" s="14" t="n">
        <v>2</v>
      </c>
      <c r="D93" s="14" t="n">
        <v>1</v>
      </c>
      <c r="E93" s="14" t="s">
        <v>1105</v>
      </c>
      <c r="F93" s="14" t="s">
        <v>3280</v>
      </c>
      <c r="G93" s="14" t="s">
        <v>3281</v>
      </c>
      <c r="H93" s="14"/>
      <c r="I93" s="14"/>
    </row>
    <row r="94" customFormat="false" ht="14.5" hidden="false" customHeight="false" outlineLevel="0" collapsed="false">
      <c r="A94" s="14" t="s">
        <v>1098</v>
      </c>
      <c r="B94" s="14" t="n">
        <v>83</v>
      </c>
      <c r="C94" s="14" t="n">
        <v>2</v>
      </c>
      <c r="D94" s="14" t="n">
        <v>2</v>
      </c>
      <c r="E94" s="14" t="s">
        <v>1107</v>
      </c>
      <c r="F94" s="14" t="s">
        <v>3282</v>
      </c>
      <c r="G94" s="14" t="s">
        <v>3283</v>
      </c>
      <c r="H94" s="14"/>
      <c r="I94" s="14"/>
    </row>
    <row r="95" customFormat="false" ht="14.5" hidden="false" customHeight="false" outlineLevel="0" collapsed="false">
      <c r="A95" s="14" t="s">
        <v>1101</v>
      </c>
      <c r="B95" s="14" t="n">
        <v>83</v>
      </c>
      <c r="C95" s="14" t="n">
        <v>3</v>
      </c>
      <c r="D95" s="14" t="n">
        <v>1</v>
      </c>
      <c r="E95" s="14" t="s">
        <v>3284</v>
      </c>
      <c r="F95" s="14" t="s">
        <v>3285</v>
      </c>
      <c r="G95" s="14" t="s">
        <v>3286</v>
      </c>
      <c r="H95" s="14"/>
      <c r="I95" s="14"/>
    </row>
    <row r="96" customFormat="false" ht="14.5" hidden="false" customHeight="false" outlineLevel="0" collapsed="false">
      <c r="A96" s="14" t="s">
        <v>1101</v>
      </c>
      <c r="B96" s="14" t="n">
        <v>83</v>
      </c>
      <c r="C96" s="14" t="n">
        <v>3</v>
      </c>
      <c r="D96" s="14" t="n">
        <v>4</v>
      </c>
      <c r="E96" s="14" t="s">
        <v>2237</v>
      </c>
      <c r="F96" s="14" t="s">
        <v>3287</v>
      </c>
      <c r="G96" s="14" t="s">
        <v>3288</v>
      </c>
      <c r="H96" s="14"/>
      <c r="I96" s="14"/>
    </row>
    <row r="97" customFormat="false" ht="14.5" hidden="false" customHeight="false" outlineLevel="0" collapsed="false">
      <c r="A97" s="14" t="s">
        <v>2955</v>
      </c>
      <c r="B97" s="14" t="n">
        <v>97</v>
      </c>
      <c r="C97" s="14" t="n">
        <v>1</v>
      </c>
      <c r="D97" s="14" t="n">
        <v>3</v>
      </c>
      <c r="E97" s="14" t="s">
        <v>3289</v>
      </c>
      <c r="F97" s="14" t="s">
        <v>3290</v>
      </c>
      <c r="G97" s="14" t="s">
        <v>3291</v>
      </c>
      <c r="H97" s="14"/>
      <c r="I97" s="14"/>
    </row>
    <row r="98" customFormat="false" ht="14.5" hidden="false" customHeight="false" outlineLevel="0" collapsed="false">
      <c r="A98" s="14" t="s">
        <v>2955</v>
      </c>
      <c r="B98" s="14" t="n">
        <v>97</v>
      </c>
      <c r="C98" s="14" t="n">
        <v>1</v>
      </c>
      <c r="D98" s="14" t="n">
        <v>4</v>
      </c>
      <c r="E98" s="14" t="s">
        <v>1107</v>
      </c>
      <c r="F98" s="14" t="s">
        <v>3088</v>
      </c>
      <c r="G98" s="14" t="s">
        <v>3292</v>
      </c>
      <c r="H98" s="14"/>
      <c r="I98" s="14"/>
    </row>
    <row r="99" customFormat="false" ht="14.5" hidden="false" customHeight="false" outlineLevel="0" collapsed="false">
      <c r="A99" s="14" t="s">
        <v>1944</v>
      </c>
      <c r="B99" s="14" t="n">
        <v>97</v>
      </c>
      <c r="C99" s="14" t="n">
        <v>3</v>
      </c>
      <c r="D99" s="14" t="n">
        <v>1</v>
      </c>
      <c r="E99" s="14" t="s">
        <v>1105</v>
      </c>
      <c r="F99" s="14" t="s">
        <v>3293</v>
      </c>
      <c r="G99" s="14" t="s">
        <v>3294</v>
      </c>
      <c r="H99" s="14"/>
      <c r="I99" s="14"/>
    </row>
    <row r="100" customFormat="false" ht="14.5" hidden="false" customHeight="false" outlineLevel="0" collapsed="false">
      <c r="A100" s="14" t="s">
        <v>1944</v>
      </c>
      <c r="B100" s="14" t="n">
        <v>97</v>
      </c>
      <c r="C100" s="14" t="n">
        <v>3</v>
      </c>
      <c r="D100" s="14" t="n">
        <v>3</v>
      </c>
      <c r="E100" s="14" t="s">
        <v>1107</v>
      </c>
      <c r="F100" s="14" t="s">
        <v>3295</v>
      </c>
      <c r="G100" s="14" t="s">
        <v>3296</v>
      </c>
      <c r="H100" s="14"/>
      <c r="I100" s="14"/>
    </row>
    <row r="101" customFormat="false" ht="14.5" hidden="false" customHeight="false" outlineLevel="0" collapsed="false">
      <c r="A101" s="14" t="s">
        <v>1944</v>
      </c>
      <c r="B101" s="14" t="n">
        <v>97</v>
      </c>
      <c r="C101" s="14" t="n">
        <v>3</v>
      </c>
      <c r="D101" s="14" t="n">
        <v>5</v>
      </c>
      <c r="E101" s="14" t="s">
        <v>3297</v>
      </c>
      <c r="F101" s="14" t="s">
        <v>3298</v>
      </c>
      <c r="G101" s="14" t="s">
        <v>3299</v>
      </c>
      <c r="H101" s="14"/>
      <c r="I101" s="14"/>
    </row>
    <row r="102" customFormat="false" ht="14.5" hidden="false" customHeight="false" outlineLevel="0" collapsed="false">
      <c r="A102" s="14" t="s">
        <v>3300</v>
      </c>
      <c r="B102" s="14" t="n">
        <v>98</v>
      </c>
      <c r="C102" s="14" t="n">
        <v>1</v>
      </c>
      <c r="D102" s="14" t="n">
        <v>3</v>
      </c>
      <c r="E102" s="14" t="s">
        <v>3301</v>
      </c>
      <c r="F102" s="14" t="s">
        <v>3302</v>
      </c>
      <c r="G102" s="14" t="s">
        <v>3303</v>
      </c>
      <c r="H102" s="14"/>
      <c r="I102" s="14"/>
    </row>
    <row r="103" customFormat="false" ht="14.5" hidden="false" customHeight="false" outlineLevel="0" collapsed="false">
      <c r="A103" s="14" t="s">
        <v>3304</v>
      </c>
      <c r="B103" s="14" t="n">
        <v>98</v>
      </c>
      <c r="C103" s="14" t="n">
        <v>3</v>
      </c>
      <c r="D103" s="14" t="n">
        <v>2</v>
      </c>
      <c r="E103" s="14" t="s">
        <v>3301</v>
      </c>
      <c r="F103" s="14" t="s">
        <v>3302</v>
      </c>
      <c r="G103" s="14" t="s">
        <v>3305</v>
      </c>
      <c r="H103" s="14"/>
      <c r="I103" s="14"/>
    </row>
    <row r="104" customFormat="false" ht="14.5" hidden="false" customHeight="false" outlineLevel="0" collapsed="false">
      <c r="A104" s="14" t="s">
        <v>2244</v>
      </c>
      <c r="B104" s="14" t="n">
        <v>103</v>
      </c>
      <c r="C104" s="14" t="n">
        <v>2</v>
      </c>
      <c r="D104" s="14" t="n">
        <v>2</v>
      </c>
      <c r="E104" s="14" t="s">
        <v>970</v>
      </c>
      <c r="F104" s="14" t="s">
        <v>3306</v>
      </c>
      <c r="G104" s="14" t="s">
        <v>3307</v>
      </c>
      <c r="H104" s="14"/>
      <c r="I104" s="14"/>
    </row>
    <row r="105" customFormat="false" ht="14.5" hidden="false" customHeight="false" outlineLevel="0" collapsed="false">
      <c r="A105" s="14" t="s">
        <v>3308</v>
      </c>
      <c r="B105" s="14" t="n">
        <v>113</v>
      </c>
      <c r="C105" s="14" t="n">
        <v>1</v>
      </c>
      <c r="D105" s="14" t="n">
        <v>5</v>
      </c>
      <c r="E105" s="14" t="s">
        <v>3309</v>
      </c>
      <c r="F105" s="14" t="s">
        <v>3310</v>
      </c>
      <c r="G105" s="14" t="s">
        <v>3311</v>
      </c>
      <c r="H105" s="14"/>
      <c r="I105" s="14"/>
    </row>
    <row r="106" customFormat="false" ht="14.5" hidden="false" customHeight="false" outlineLevel="0" collapsed="false">
      <c r="A106" s="14" t="s">
        <v>3308</v>
      </c>
      <c r="B106" s="14" t="n">
        <v>113</v>
      </c>
      <c r="C106" s="14" t="n">
        <v>1</v>
      </c>
      <c r="D106" s="14" t="n">
        <v>6</v>
      </c>
      <c r="E106" s="14" t="s">
        <v>1179</v>
      </c>
      <c r="F106" s="14" t="s">
        <v>3312</v>
      </c>
      <c r="G106" s="14" t="s">
        <v>3313</v>
      </c>
      <c r="H106" s="14"/>
      <c r="I106" s="14"/>
    </row>
    <row r="107" customFormat="false" ht="14.5" hidden="false" customHeight="false" outlineLevel="0" collapsed="false">
      <c r="A107" s="14" t="s">
        <v>3314</v>
      </c>
      <c r="B107" s="14" t="n">
        <v>115</v>
      </c>
      <c r="C107" s="14" t="n">
        <v>2</v>
      </c>
      <c r="D107" s="14" t="n">
        <v>3</v>
      </c>
      <c r="E107" s="14" t="s">
        <v>3315</v>
      </c>
      <c r="F107" s="14" t="s">
        <v>3133</v>
      </c>
      <c r="G107" s="14" t="s">
        <v>3316</v>
      </c>
      <c r="H107" s="14"/>
      <c r="I107" s="14"/>
    </row>
    <row r="108" customFormat="false" ht="14.5" hidden="false" customHeight="false" outlineLevel="0" collapsed="false">
      <c r="A108" s="14" t="s">
        <v>3317</v>
      </c>
      <c r="B108" s="14" t="n">
        <v>122</v>
      </c>
      <c r="C108" s="14" t="n">
        <v>2</v>
      </c>
      <c r="D108" s="14" t="n">
        <v>2</v>
      </c>
      <c r="E108" s="14" t="s">
        <v>3318</v>
      </c>
      <c r="F108" s="14" t="s">
        <v>3319</v>
      </c>
      <c r="G108" s="14" t="s">
        <v>3320</v>
      </c>
      <c r="H108" s="14"/>
      <c r="I108" s="14"/>
    </row>
    <row r="109" customFormat="false" ht="14.5" hidden="false" customHeight="false" outlineLevel="0" collapsed="false">
      <c r="A109" s="14" t="s">
        <v>3321</v>
      </c>
      <c r="B109" s="14" t="n">
        <v>131</v>
      </c>
      <c r="C109" s="14" t="n">
        <v>1</v>
      </c>
      <c r="D109" s="14" t="n">
        <v>1</v>
      </c>
      <c r="E109" s="14" t="s">
        <v>3322</v>
      </c>
      <c r="F109" s="14" t="s">
        <v>3323</v>
      </c>
      <c r="G109" s="14" t="s">
        <v>3324</v>
      </c>
      <c r="H109" s="14"/>
      <c r="I109" s="14"/>
    </row>
    <row r="110" customFormat="false" ht="14.5" hidden="false" customHeight="false" outlineLevel="0" collapsed="false">
      <c r="A110" s="14" t="s">
        <v>3321</v>
      </c>
      <c r="B110" s="14" t="n">
        <v>131</v>
      </c>
      <c r="C110" s="14" t="n">
        <v>1</v>
      </c>
      <c r="D110" s="14" t="n">
        <v>2</v>
      </c>
      <c r="E110" s="14" t="s">
        <v>3325</v>
      </c>
      <c r="F110" s="14" t="s">
        <v>3326</v>
      </c>
      <c r="G110" s="14" t="s">
        <v>3327</v>
      </c>
      <c r="H110" s="14"/>
      <c r="I110" s="14"/>
    </row>
    <row r="111" customFormat="false" ht="14.5" hidden="false" customHeight="false" outlineLevel="0" collapsed="false">
      <c r="A111" s="14" t="s">
        <v>3321</v>
      </c>
      <c r="B111" s="14" t="n">
        <v>131</v>
      </c>
      <c r="C111" s="14" t="n">
        <v>1</v>
      </c>
      <c r="D111" s="14" t="n">
        <v>3</v>
      </c>
      <c r="E111" s="14" t="s">
        <v>3328</v>
      </c>
      <c r="F111" s="14" t="s">
        <v>3329</v>
      </c>
      <c r="G111" s="14" t="s">
        <v>3330</v>
      </c>
      <c r="H111" s="14"/>
      <c r="I111" s="14"/>
    </row>
    <row r="112" customFormat="false" ht="14.5" hidden="false" customHeight="false" outlineLevel="0" collapsed="false">
      <c r="A112" s="14" t="s">
        <v>3331</v>
      </c>
      <c r="B112" s="14" t="n">
        <v>131</v>
      </c>
      <c r="C112" s="14" t="n">
        <v>2</v>
      </c>
      <c r="D112" s="14" t="n">
        <v>3</v>
      </c>
      <c r="E112" s="14" t="s">
        <v>3332</v>
      </c>
      <c r="F112" s="14" t="s">
        <v>3099</v>
      </c>
      <c r="G112" s="14" t="s">
        <v>3333</v>
      </c>
      <c r="H112" s="14"/>
      <c r="I112" s="14"/>
    </row>
    <row r="113" customFormat="false" ht="14.5" hidden="false" customHeight="false" outlineLevel="0" collapsed="false">
      <c r="A113" s="14" t="s">
        <v>3334</v>
      </c>
      <c r="B113" s="14" t="n">
        <v>131</v>
      </c>
      <c r="C113" s="14" t="n">
        <v>3</v>
      </c>
      <c r="D113" s="14" t="n">
        <v>3</v>
      </c>
      <c r="E113" s="14" t="s">
        <v>3335</v>
      </c>
      <c r="F113" s="14" t="s">
        <v>3189</v>
      </c>
      <c r="G113" s="14" t="s">
        <v>3336</v>
      </c>
      <c r="H113" s="14"/>
      <c r="I113" s="14"/>
    </row>
    <row r="114" customFormat="false" ht="14.5" hidden="false" customHeight="false" outlineLevel="0" collapsed="false">
      <c r="A114" s="14" t="s">
        <v>3337</v>
      </c>
      <c r="B114" s="14" t="n">
        <v>190</v>
      </c>
      <c r="C114" s="14" t="n">
        <v>1</v>
      </c>
      <c r="D114" s="14" t="n">
        <v>1</v>
      </c>
      <c r="E114" s="14" t="s">
        <v>3338</v>
      </c>
      <c r="F114" s="14" t="s">
        <v>3339</v>
      </c>
      <c r="G114" s="14" t="s">
        <v>3340</v>
      </c>
      <c r="H114" s="14"/>
      <c r="I114" s="14"/>
    </row>
    <row r="115" customFormat="false" ht="14.5" hidden="false" customHeight="false" outlineLevel="0" collapsed="false">
      <c r="A115" s="14" t="s">
        <v>3341</v>
      </c>
      <c r="B115" s="14" t="n">
        <v>190</v>
      </c>
      <c r="C115" s="14" t="n">
        <v>3</v>
      </c>
      <c r="D115" s="14" t="n">
        <v>1</v>
      </c>
      <c r="E115" s="14" t="s">
        <v>3338</v>
      </c>
      <c r="F115" s="14" t="s">
        <v>3339</v>
      </c>
      <c r="G115" s="14" t="s">
        <v>3342</v>
      </c>
      <c r="H115" s="14"/>
      <c r="I115" s="14"/>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1" activeCellId="1" sqref="G14:I22 G111"/>
    </sheetView>
  </sheetViews>
  <sheetFormatPr defaultColWidth="8.4296875" defaultRowHeight="14.5" zeroHeight="false" outlineLevelRow="0" outlineLevelCol="0"/>
  <cols>
    <col collapsed="false" customWidth="true" hidden="false" outlineLevel="0" max="5" min="5" style="0" width="19.18"/>
    <col collapsed="false" customWidth="true" hidden="false" outlineLevel="0" max="6" min="6" style="0" width="10"/>
    <col collapsed="false" customWidth="true" hidden="false" outlineLevel="0" max="7" min="7" style="0" width="28"/>
    <col collapsed="false" customWidth="true" hidden="false" outlineLevel="0" max="9" min="8" style="0" width="13.17"/>
    <col collapsed="false" customWidth="true" hidden="false" outlineLevel="0" max="12" min="10" style="0" width="18.28"/>
  </cols>
  <sheetData>
    <row r="1" customFormat="false" ht="14.5" hidden="false" customHeight="false" outlineLevel="0" collapsed="false">
      <c r="A1" s="37" t="s">
        <v>21</v>
      </c>
      <c r="B1" s="37" t="s">
        <v>1162</v>
      </c>
      <c r="C1" s="37" t="s">
        <v>1163</v>
      </c>
      <c r="D1" s="37" t="s">
        <v>3343</v>
      </c>
      <c r="E1" s="37" t="s">
        <v>3344</v>
      </c>
      <c r="F1" s="37" t="s">
        <v>2085</v>
      </c>
      <c r="G1" s="37" t="s">
        <v>1165</v>
      </c>
      <c r="H1" s="41" t="s">
        <v>1166</v>
      </c>
      <c r="I1" s="41" t="s">
        <v>2302</v>
      </c>
      <c r="J1" s="41" t="s">
        <v>3345</v>
      </c>
    </row>
    <row r="2" customFormat="false" ht="14.5" hidden="false" customHeight="false" outlineLevel="0" collapsed="false">
      <c r="A2" s="14" t="n">
        <v>5</v>
      </c>
      <c r="B2" s="14" t="n">
        <v>1</v>
      </c>
      <c r="C2" s="14" t="n">
        <v>5</v>
      </c>
      <c r="D2" s="14" t="str">
        <f aca="false">VLOOKUP(Table123[[#This Row],[ID]], riskBugs!A:I, 9, 0)</f>
        <v> https://code4rena.com/reports/2021-04-vader#h-03-missing-dao-functionality-to-call-changedao-function-in-vadersol</v>
      </c>
      <c r="E2" s="14" t="str">
        <f aca="false">VLOOKUP(Table123[[#This Row],[ID]], riskBugs!A:I, 6, 0)</f>
        <v>Vader.sol</v>
      </c>
      <c r="F2" s="14" t="s">
        <v>1609</v>
      </c>
      <c r="G2" s="14" t="s">
        <v>2560</v>
      </c>
      <c r="H2" s="14" t="s">
        <v>2001</v>
      </c>
      <c r="I2" s="14"/>
      <c r="J2" s="14" t="s">
        <v>3074</v>
      </c>
    </row>
    <row r="3" customFormat="false" ht="14.5" hidden="false" customHeight="false" outlineLevel="0" collapsed="false">
      <c r="A3" s="14" t="n">
        <v>5</v>
      </c>
      <c r="B3" s="14" t="n">
        <v>2</v>
      </c>
      <c r="C3" s="14" t="n">
        <v>3</v>
      </c>
      <c r="D3" s="14" t="str">
        <f aca="false">VLOOKUP(Table123[[#This Row],[ID]], riskBugs!A:I, 9, 0)</f>
        <v> https://code4rena.com/reports/2021-04-vader#h-03-missing-dao-functionality-to-call-changedao-function-in-vadersol</v>
      </c>
      <c r="E3" s="14" t="str">
        <f aca="false">VLOOKUP(Table123[[#This Row],[ID]], riskBugs!A:I, 6, 0)</f>
        <v>Vader.sol</v>
      </c>
      <c r="F3" s="14" t="s">
        <v>2455</v>
      </c>
      <c r="G3" s="14" t="s">
        <v>3075</v>
      </c>
      <c r="H3" s="14" t="s">
        <v>2033</v>
      </c>
      <c r="I3" s="14"/>
      <c r="J3" s="14" t="s">
        <v>3076</v>
      </c>
    </row>
    <row r="4" customFormat="false" ht="14.5" hidden="false" customHeight="false" outlineLevel="0" collapsed="false">
      <c r="A4" s="14" t="n">
        <v>5</v>
      </c>
      <c r="B4" s="14" t="n">
        <v>2</v>
      </c>
      <c r="C4" s="14" t="n">
        <v>1</v>
      </c>
      <c r="D4" s="14" t="str">
        <f aca="false">VLOOKUP(Table123[[#This Row],[ID]], riskBugs!A:I, 9, 0)</f>
        <v> https://code4rena.com/reports/2021-04-vader#h-03-missing-dao-functionality-to-call-changedao-function-in-vadersol</v>
      </c>
      <c r="E4" s="14" t="str">
        <f aca="false">VLOOKUP(Table123[[#This Row],[ID]], riskBugs!A:I, 6, 0)</f>
        <v>Vader.sol</v>
      </c>
      <c r="F4" s="14" t="s">
        <v>1259</v>
      </c>
      <c r="G4" s="14" t="s">
        <v>3346</v>
      </c>
      <c r="H4" s="14" t="s">
        <v>2305</v>
      </c>
      <c r="I4" s="7" t="s">
        <v>2306</v>
      </c>
      <c r="J4" s="14" t="s">
        <v>3078</v>
      </c>
    </row>
    <row r="5" customFormat="false" ht="14.5" hidden="false" customHeight="false" outlineLevel="0" collapsed="false">
      <c r="A5" s="14" t="n">
        <v>5</v>
      </c>
      <c r="B5" s="14" t="n">
        <v>2</v>
      </c>
      <c r="C5" s="14" t="n">
        <v>5</v>
      </c>
      <c r="D5" s="14" t="str">
        <f aca="false">VLOOKUP(Table123[[#This Row],[ID]], riskBugs!A:I, 9, 0)</f>
        <v> https://code4rena.com/reports/2021-04-vader#h-03-missing-dao-functionality-to-call-changedao-function-in-vadersol</v>
      </c>
      <c r="E5" s="14" t="str">
        <f aca="false">VLOOKUP(Table123[[#This Row],[ID]], riskBugs!A:I, 6, 0)</f>
        <v>Vader.sol</v>
      </c>
      <c r="F5" s="14" t="s">
        <v>1794</v>
      </c>
      <c r="G5" s="14" t="s">
        <v>3346</v>
      </c>
      <c r="H5" s="14" t="s">
        <v>2033</v>
      </c>
      <c r="I5" s="14"/>
      <c r="J5" s="14" t="s">
        <v>3079</v>
      </c>
    </row>
    <row r="6" customFormat="false" ht="14.5" hidden="false" customHeight="false" outlineLevel="0" collapsed="false">
      <c r="A6" s="14" t="n">
        <v>5</v>
      </c>
      <c r="B6" s="14" t="n">
        <v>3</v>
      </c>
      <c r="C6" s="14" t="n">
        <v>4</v>
      </c>
      <c r="D6" s="14" t="str">
        <f aca="false">VLOOKUP(Table123[[#This Row],[ID]], riskBugs!A:I, 9, 0)</f>
        <v> https://code4rena.com/reports/2021-04-vader#h-03-missing-dao-functionality-to-call-changedao-function-in-vadersol</v>
      </c>
      <c r="E6" s="14" t="str">
        <f aca="false">VLOOKUP(Table123[[#This Row],[ID]], riskBugs!A:I, 6, 0)</f>
        <v>Vader.sol</v>
      </c>
      <c r="F6" s="14" t="s">
        <v>2663</v>
      </c>
      <c r="G6" s="14" t="s">
        <v>3099</v>
      </c>
      <c r="H6" s="14" t="s">
        <v>2001</v>
      </c>
      <c r="I6" s="14"/>
      <c r="J6" s="14" t="s">
        <v>3081</v>
      </c>
    </row>
    <row r="7" customFormat="false" ht="14.5" hidden="false" customHeight="false" outlineLevel="0" collapsed="false">
      <c r="A7" s="14" t="n">
        <v>19</v>
      </c>
      <c r="B7" s="14" t="n">
        <v>2</v>
      </c>
      <c r="C7" s="14" t="n">
        <v>5</v>
      </c>
      <c r="D7" s="14" t="str">
        <f aca="false">VLOOKUP(Table123[[#This Row],[ID]], riskBugs!A:I, 9, 0)</f>
        <v> https://code4rena.com/reports/2021-07-connext-findings#h-01-anyone-can-arbitrarily-add-router-liquidity</v>
      </c>
      <c r="E7" s="14" t="str">
        <f aca="false">VLOOKUP(Table123[[#This Row],[ID]], riskBugs!A:I, 6, 0)</f>
        <v>TransactionManager.sol</v>
      </c>
      <c r="F7" s="14" t="s">
        <v>1957</v>
      </c>
      <c r="G7" s="14" t="s">
        <v>3082</v>
      </c>
      <c r="H7" s="14" t="s">
        <v>2008</v>
      </c>
      <c r="I7" s="14"/>
      <c r="J7" s="14" t="s">
        <v>3083</v>
      </c>
    </row>
    <row r="8" customFormat="false" ht="14.5" hidden="false" customHeight="false" outlineLevel="0" collapsed="false">
      <c r="A8" s="14" t="n">
        <v>20</v>
      </c>
      <c r="B8" s="14" t="n">
        <v>1</v>
      </c>
      <c r="C8" s="14" t="n">
        <v>4</v>
      </c>
      <c r="D8" s="14" t="str">
        <f aca="false">VLOOKUP(Table123[[#This Row],[ID]], riskBugs!A:I, 9, 0)</f>
        <v> https://code4rena.com/reports/2021-07-spartan#h-02-poolsol--synthsol-failing-max-value-allowance</v>
      </c>
      <c r="E8" s="14" t="str">
        <f aca="false">VLOOKUP(Table123[[#This Row],[ID]], riskBugs!A:I, 6, 0)</f>
        <v>Pool.sol Synth.sol</v>
      </c>
      <c r="F8" s="14" t="s">
        <v>2138</v>
      </c>
      <c r="G8" s="14" t="s">
        <v>3084</v>
      </c>
      <c r="H8" s="14" t="s">
        <v>3347</v>
      </c>
      <c r="I8" s="14"/>
      <c r="J8" s="14" t="s">
        <v>3085</v>
      </c>
    </row>
    <row r="9" customFormat="false" ht="14.5" hidden="false" customHeight="false" outlineLevel="0" collapsed="false">
      <c r="A9" s="14" t="n">
        <v>20</v>
      </c>
      <c r="B9" s="14" t="n">
        <v>1</v>
      </c>
      <c r="C9" s="14" t="n">
        <v>5</v>
      </c>
      <c r="D9" s="14" t="str">
        <f aca="false">VLOOKUP(Table123[[#This Row],[ID]], riskBugs!A:I, 9, 0)</f>
        <v> https://code4rena.com/reports/2021-07-spartan#h-02-poolsol--synthsol-failing-max-value-allowance</v>
      </c>
      <c r="E9" s="14" t="str">
        <f aca="false">VLOOKUP(Table123[[#This Row],[ID]], riskBugs!A:I, 6, 0)</f>
        <v>Pool.sol Synth.sol</v>
      </c>
      <c r="F9" s="14" t="s">
        <v>928</v>
      </c>
      <c r="G9" s="14" t="s">
        <v>3154</v>
      </c>
      <c r="H9" s="14" t="s">
        <v>2001</v>
      </c>
      <c r="I9" s="14"/>
      <c r="J9" s="14" t="s">
        <v>3086</v>
      </c>
    </row>
    <row r="10" customFormat="false" ht="14.5" hidden="false" customHeight="false" outlineLevel="0" collapsed="false">
      <c r="A10" s="14" t="n">
        <v>20</v>
      </c>
      <c r="B10" s="14" t="n">
        <v>2</v>
      </c>
      <c r="C10" s="14" t="n">
        <v>3</v>
      </c>
      <c r="D10" s="14" t="str">
        <f aca="false">VLOOKUP(Table123[[#This Row],[ID]], riskBugs!A:I, 9, 0)</f>
        <v> https://code4rena.com/reports/2021-07-spartan#h-02-poolsol--synthsol-failing-max-value-allowance</v>
      </c>
      <c r="E10" s="14" t="str">
        <f aca="false">VLOOKUP(Table123[[#This Row],[ID]], riskBugs!A:I, 6, 0)</f>
        <v>Pool.sol Synth.sol</v>
      </c>
      <c r="F10" s="14" t="s">
        <v>3087</v>
      </c>
      <c r="G10" s="14" t="s">
        <v>3088</v>
      </c>
      <c r="H10" s="14" t="s">
        <v>3348</v>
      </c>
      <c r="I10" s="14"/>
      <c r="J10" s="14" t="s">
        <v>3089</v>
      </c>
    </row>
    <row r="11" customFormat="false" ht="14.5" hidden="false" customHeight="false" outlineLevel="0" collapsed="false">
      <c r="A11" s="14" t="n">
        <v>20</v>
      </c>
      <c r="B11" s="14" t="n">
        <v>2</v>
      </c>
      <c r="C11" s="14" t="n">
        <v>2</v>
      </c>
      <c r="D11" s="14" t="str">
        <f aca="false">VLOOKUP(Table123[[#This Row],[ID]], riskBugs!A:I, 9, 0)</f>
        <v> https://code4rena.com/reports/2021-07-spartan#h-02-poolsol--synthsol-failing-max-value-allowance</v>
      </c>
      <c r="E11" s="14" t="str">
        <f aca="false">VLOOKUP(Table123[[#This Row],[ID]], riskBugs!A:I, 6, 0)</f>
        <v>Pool.sol Synth.sol</v>
      </c>
      <c r="F11" s="14" t="s">
        <v>3090</v>
      </c>
      <c r="G11" s="14" t="s">
        <v>3091</v>
      </c>
      <c r="H11" s="14" t="s">
        <v>2005</v>
      </c>
      <c r="I11" s="14"/>
      <c r="J11" s="14" t="s">
        <v>3092</v>
      </c>
    </row>
    <row r="12" customFormat="false" ht="14.5" hidden="false" customHeight="false" outlineLevel="0" collapsed="false">
      <c r="A12" s="14" t="n">
        <v>20</v>
      </c>
      <c r="B12" s="14" t="n">
        <v>3</v>
      </c>
      <c r="C12" s="14" t="n">
        <v>5</v>
      </c>
      <c r="D12" s="14" t="str">
        <f aca="false">VLOOKUP(Table123[[#This Row],[ID]], riskBugs!A:I, 9, 0)</f>
        <v> https://code4rena.com/reports/2021-07-spartan#h-02-poolsol--synthsol-failing-max-value-allowance</v>
      </c>
      <c r="E12" s="14" t="str">
        <f aca="false">VLOOKUP(Table123[[#This Row],[ID]], riskBugs!A:I, 6, 0)</f>
        <v>Pool.sol Synth.sol</v>
      </c>
      <c r="F12" s="14" t="s">
        <v>3093</v>
      </c>
      <c r="G12" s="14" t="s">
        <v>1409</v>
      </c>
      <c r="H12" s="14" t="s">
        <v>2005</v>
      </c>
      <c r="I12" s="14"/>
      <c r="J12" s="14" t="s">
        <v>3094</v>
      </c>
    </row>
    <row r="13" customFormat="false" ht="14.5" hidden="false" customHeight="false" outlineLevel="0" collapsed="false">
      <c r="A13" s="14" t="n">
        <v>20</v>
      </c>
      <c r="B13" s="14" t="n">
        <v>3</v>
      </c>
      <c r="C13" s="14" t="n">
        <v>2</v>
      </c>
      <c r="D13" s="14" t="str">
        <f aca="false">VLOOKUP(Table123[[#This Row],[ID]], riskBugs!A:I, 9, 0)</f>
        <v> https://code4rena.com/reports/2021-07-spartan#h-02-poolsol--synthsol-failing-max-value-allowance</v>
      </c>
      <c r="E13" s="14" t="str">
        <f aca="false">VLOOKUP(Table123[[#This Row],[ID]], riskBugs!A:I, 6, 0)</f>
        <v>Pool.sol Synth.sol</v>
      </c>
      <c r="F13" s="14" t="s">
        <v>3095</v>
      </c>
      <c r="G13" s="14" t="s">
        <v>1409</v>
      </c>
      <c r="H13" s="14" t="s">
        <v>3349</v>
      </c>
      <c r="I13" s="14" t="s">
        <v>3350</v>
      </c>
      <c r="J13" s="14" t="s">
        <v>3351</v>
      </c>
    </row>
    <row r="14" customFormat="false" ht="14.5" hidden="false" customHeight="false" outlineLevel="0" collapsed="false">
      <c r="A14" s="14" t="n">
        <v>20</v>
      </c>
      <c r="B14" s="14" t="n">
        <v>3</v>
      </c>
      <c r="C14" s="14" t="n">
        <v>4</v>
      </c>
      <c r="D14" s="14" t="str">
        <f aca="false">VLOOKUP(Table123[[#This Row],[ID]], riskBugs!A:I, 9, 0)</f>
        <v> https://code4rena.com/reports/2021-07-spartan#h-02-poolsol--synthsol-failing-max-value-allowance</v>
      </c>
      <c r="E14" s="14" t="str">
        <f aca="false">VLOOKUP(Table123[[#This Row],[ID]], riskBugs!A:I, 6, 0)</f>
        <v>Pool.sol Synth.sol</v>
      </c>
      <c r="F14" s="14" t="s">
        <v>3098</v>
      </c>
      <c r="G14" s="14" t="s">
        <v>3099</v>
      </c>
      <c r="H14" s="14" t="s">
        <v>3352</v>
      </c>
      <c r="I14" s="14" t="s">
        <v>3350</v>
      </c>
      <c r="J14" s="14" t="s">
        <v>3100</v>
      </c>
    </row>
    <row r="15" customFormat="false" ht="14.5" hidden="false" customHeight="false" outlineLevel="0" collapsed="false">
      <c r="A15" s="14" t="n">
        <v>20</v>
      </c>
      <c r="B15" s="14" t="n">
        <v>3</v>
      </c>
      <c r="C15" s="14" t="n">
        <v>5</v>
      </c>
      <c r="D15" s="14" t="str">
        <f aca="false">VLOOKUP(Table123[[#This Row],[ID]], riskBugs!A:I, 9, 0)</f>
        <v> https://code4rena.com/reports/2021-07-spartan#h-02-poolsol--synthsol-failing-max-value-allowance</v>
      </c>
      <c r="E15" s="14" t="str">
        <f aca="false">VLOOKUP(Table123[[#This Row],[ID]], riskBugs!A:I, 6, 0)</f>
        <v>Pool.sol Synth.sol</v>
      </c>
      <c r="F15" s="14" t="s">
        <v>3101</v>
      </c>
      <c r="G15" s="14" t="s">
        <v>3102</v>
      </c>
      <c r="H15" s="14" t="s">
        <v>3353</v>
      </c>
      <c r="I15" s="14" t="s">
        <v>3350</v>
      </c>
      <c r="J15" s="14" t="s">
        <v>3354</v>
      </c>
    </row>
    <row r="16" customFormat="false" ht="14.5" hidden="false" customHeight="false" outlineLevel="0" collapsed="false">
      <c r="A16" s="14" t="n">
        <v>20</v>
      </c>
      <c r="B16" s="14" t="n">
        <v>3</v>
      </c>
      <c r="C16" s="14" t="n">
        <v>2</v>
      </c>
      <c r="D16" s="14" t="str">
        <f aca="false">VLOOKUP(Table123[[#This Row],[ID]], riskBugs!A:I, 9, 0)</f>
        <v> https://code4rena.com/reports/2021-07-spartan#h-02-poolsol--synthsol-failing-max-value-allowance</v>
      </c>
      <c r="E16" s="14" t="str">
        <f aca="false">VLOOKUP(Table123[[#This Row],[ID]], riskBugs!A:I, 6, 0)</f>
        <v>Pool.sol Synth.sol</v>
      </c>
      <c r="F16" s="14" t="s">
        <v>3106</v>
      </c>
      <c r="G16" s="14" t="s">
        <v>3107</v>
      </c>
      <c r="H16" s="14" t="s">
        <v>3355</v>
      </c>
      <c r="I16" s="14" t="s">
        <v>3350</v>
      </c>
      <c r="J16" s="14" t="s">
        <v>3108</v>
      </c>
    </row>
    <row r="17" customFormat="false" ht="14.5" hidden="false" customHeight="false" outlineLevel="0" collapsed="false">
      <c r="A17" s="14" t="n">
        <v>20</v>
      </c>
      <c r="B17" s="14" t="n">
        <v>3</v>
      </c>
      <c r="C17" s="14" t="n">
        <v>3</v>
      </c>
      <c r="D17" s="14" t="str">
        <f aca="false">VLOOKUP(Table123[[#This Row],[ID]], riskBugs!A:I, 9, 0)</f>
        <v> https://code4rena.com/reports/2021-07-spartan#h-02-poolsol--synthsol-failing-max-value-allowance</v>
      </c>
      <c r="E17" s="14" t="str">
        <f aca="false">VLOOKUP(Table123[[#This Row],[ID]], riskBugs!A:I, 6, 0)</f>
        <v>Pool.sol Synth.sol</v>
      </c>
      <c r="F17" s="14" t="s">
        <v>1231</v>
      </c>
      <c r="G17" s="14" t="s">
        <v>3346</v>
      </c>
      <c r="H17" s="14" t="s">
        <v>2315</v>
      </c>
      <c r="I17" s="7" t="s">
        <v>2316</v>
      </c>
      <c r="J17" s="14" t="s">
        <v>3110</v>
      </c>
    </row>
    <row r="18" customFormat="false" ht="14.5" hidden="false" customHeight="false" outlineLevel="0" collapsed="false">
      <c r="A18" s="14" t="n">
        <v>20</v>
      </c>
      <c r="B18" s="14" t="n">
        <v>3</v>
      </c>
      <c r="C18" s="14" t="n">
        <v>4</v>
      </c>
      <c r="D18" s="14" t="str">
        <f aca="false">VLOOKUP(Table123[[#This Row],[ID]], riskBugs!A:I, 9, 0)</f>
        <v> https://code4rena.com/reports/2021-07-spartan#h-02-poolsol--synthsol-failing-max-value-allowance</v>
      </c>
      <c r="E18" s="14" t="str">
        <f aca="false">VLOOKUP(Table123[[#This Row],[ID]], riskBugs!A:I, 6, 0)</f>
        <v>Pool.sol Synth.sol</v>
      </c>
      <c r="F18" s="14" t="s">
        <v>3090</v>
      </c>
      <c r="G18" s="14" t="s">
        <v>3099</v>
      </c>
      <c r="H18" s="14" t="s">
        <v>3356</v>
      </c>
      <c r="I18" s="14" t="s">
        <v>3357</v>
      </c>
      <c r="J18" s="14" t="s">
        <v>3111</v>
      </c>
    </row>
    <row r="19" customFormat="false" ht="14.5" hidden="false" customHeight="false" outlineLevel="0" collapsed="false">
      <c r="A19" s="14" t="n">
        <v>28</v>
      </c>
      <c r="B19" s="14" t="n">
        <v>1</v>
      </c>
      <c r="C19" s="14" t="n">
        <v>2</v>
      </c>
      <c r="D19" s="14" t="str">
        <f aca="false">VLOOKUP(Table123[[#This Row],[ID]], riskBugs!A:I, 9, 0)</f>
        <v> https://code4rena.com/reports/2021-09-sushimiso#h-01-postauctionlaunchersolfinalize-adding-liquidity-to-an-existing-pool-may-allows-the-attacker-to-steal-most-of-the-tokens</v>
      </c>
      <c r="E19" s="14" t="str">
        <f aca="false">VLOOKUP(Table123[[#This Row],[ID]], riskBugs!A:I, 6, 0)</f>
        <v>PostAuctionLauncher.sol</v>
      </c>
      <c r="F19" s="14" t="s">
        <v>1259</v>
      </c>
      <c r="G19" s="14" t="s">
        <v>3112</v>
      </c>
      <c r="H19" s="14" t="s">
        <v>3358</v>
      </c>
      <c r="I19" s="14"/>
      <c r="J19" s="14" t="s">
        <v>3113</v>
      </c>
    </row>
    <row r="20" customFormat="false" ht="14.5" hidden="false" customHeight="false" outlineLevel="0" collapsed="false">
      <c r="A20" s="14" t="n">
        <v>28</v>
      </c>
      <c r="B20" s="14" t="n">
        <v>1</v>
      </c>
      <c r="C20" s="14" t="n">
        <v>3</v>
      </c>
      <c r="D20" s="14" t="str">
        <f aca="false">VLOOKUP(Table123[[#This Row],[ID]], riskBugs!A:I, 9, 0)</f>
        <v> https://code4rena.com/reports/2021-09-sushimiso#h-01-postauctionlaunchersolfinalize-adding-liquidity-to-an-existing-pool-may-allows-the-attacker-to-steal-most-of-the-tokens</v>
      </c>
      <c r="E20" s="14" t="str">
        <f aca="false">VLOOKUP(Table123[[#This Row],[ID]], riskBugs!A:I, 6, 0)</f>
        <v>PostAuctionLauncher.sol</v>
      </c>
      <c r="F20" s="14" t="s">
        <v>3114</v>
      </c>
      <c r="G20" s="14" t="s">
        <v>3115</v>
      </c>
      <c r="H20" s="14" t="s">
        <v>2033</v>
      </c>
      <c r="I20" s="14"/>
      <c r="J20" s="14" t="s">
        <v>3116</v>
      </c>
    </row>
    <row r="21" customFormat="false" ht="14.5" hidden="false" customHeight="false" outlineLevel="0" collapsed="false">
      <c r="A21" s="14" t="n">
        <v>28</v>
      </c>
      <c r="B21" s="14" t="n">
        <v>1</v>
      </c>
      <c r="C21" s="14" t="n">
        <v>4</v>
      </c>
      <c r="D21" s="14" t="str">
        <f aca="false">VLOOKUP(Table123[[#This Row],[ID]], riskBugs!A:I, 9, 0)</f>
        <v> https://code4rena.com/reports/2021-09-sushimiso#h-01-postauctionlaunchersolfinalize-adding-liquidity-to-an-existing-pool-may-allows-the-attacker-to-steal-most-of-the-tokens</v>
      </c>
      <c r="E21" s="14" t="str">
        <f aca="false">VLOOKUP(Table123[[#This Row],[ID]], riskBugs!A:I, 6, 0)</f>
        <v>PostAuctionLauncher.sol</v>
      </c>
      <c r="F21" s="14" t="s">
        <v>3117</v>
      </c>
      <c r="G21" s="14" t="s">
        <v>3118</v>
      </c>
      <c r="H21" s="14" t="s">
        <v>3347</v>
      </c>
      <c r="I21" s="14"/>
      <c r="J21" s="14" t="s">
        <v>3119</v>
      </c>
    </row>
    <row r="22" customFormat="false" ht="14.5" hidden="false" customHeight="false" outlineLevel="0" collapsed="false">
      <c r="A22" s="14" t="n">
        <v>28</v>
      </c>
      <c r="B22" s="14" t="n">
        <v>1</v>
      </c>
      <c r="C22" s="14" t="n">
        <v>5</v>
      </c>
      <c r="D22" s="14" t="str">
        <f aca="false">VLOOKUP(Table123[[#This Row],[ID]], riskBugs!A:I, 9, 0)</f>
        <v> https://code4rena.com/reports/2021-09-sushimiso#h-01-postauctionlaunchersolfinalize-adding-liquidity-to-an-existing-pool-may-allows-the-attacker-to-steal-most-of-the-tokens</v>
      </c>
      <c r="E22" s="14" t="str">
        <f aca="false">VLOOKUP(Table123[[#This Row],[ID]], riskBugs!A:I, 6, 0)</f>
        <v>PostAuctionLauncher.sol</v>
      </c>
      <c r="F22" s="14" t="s">
        <v>1056</v>
      </c>
      <c r="G22" s="14" t="s">
        <v>3120</v>
      </c>
      <c r="H22" s="14" t="s">
        <v>2328</v>
      </c>
      <c r="I22" s="14"/>
      <c r="J22" s="14" t="s">
        <v>3121</v>
      </c>
    </row>
    <row r="23" customFormat="false" ht="14.5" hidden="false" customHeight="false" outlineLevel="0" collapsed="false">
      <c r="A23" s="14" t="n">
        <v>28</v>
      </c>
      <c r="B23" s="14" t="n">
        <v>3</v>
      </c>
      <c r="C23" s="14" t="n">
        <v>1</v>
      </c>
      <c r="D23" s="14" t="str">
        <f aca="false">VLOOKUP(Table123[[#This Row],[ID]], riskBugs!A:I, 9, 0)</f>
        <v> https://code4rena.com/reports/2021-09-sushimiso#h-01-postauctionlaunchersolfinalize-adding-liquidity-to-an-existing-pool-may-allows-the-attacker-to-steal-most-of-the-tokens</v>
      </c>
      <c r="E23" s="14" t="str">
        <f aca="false">VLOOKUP(Table123[[#This Row],[ID]], riskBugs!A:I, 6, 0)</f>
        <v>PostAuctionLauncher.sol</v>
      </c>
      <c r="F23" s="14" t="s">
        <v>3114</v>
      </c>
      <c r="G23" s="14" t="s">
        <v>3346</v>
      </c>
      <c r="H23" s="14" t="s">
        <v>3358</v>
      </c>
      <c r="I23" s="14"/>
      <c r="J23" s="14" t="s">
        <v>3123</v>
      </c>
    </row>
    <row r="24" customFormat="false" ht="14.5" hidden="false" customHeight="false" outlineLevel="0" collapsed="false">
      <c r="A24" s="14" t="n">
        <v>29</v>
      </c>
      <c r="B24" s="14" t="n">
        <v>3</v>
      </c>
      <c r="C24" s="14" t="n">
        <v>2</v>
      </c>
      <c r="D24" s="14" t="str">
        <f aca="false">VLOOKUP(Table123[[#This Row],[ID]], riskBugs!A:I, 9, 0)</f>
        <v> https://code4rena.com/reports/2021-09-sushitrident#h-04-indexpools-init_pool_supply-is-not-fair</v>
      </c>
      <c r="E24" s="14" t="str">
        <f aca="false">VLOOKUP(Table123[[#This Row],[ID]], riskBugs!A:I, 6, 0)</f>
        <v>IndexPool.sol</v>
      </c>
      <c r="F24" s="14" t="s">
        <v>1392</v>
      </c>
      <c r="G24" s="14" t="s">
        <v>3125</v>
      </c>
      <c r="H24" s="14" t="s">
        <v>3359</v>
      </c>
      <c r="I24" s="14"/>
      <c r="J24" s="14" t="s">
        <v>3126</v>
      </c>
    </row>
    <row r="25" customFormat="false" ht="14.5" hidden="false" customHeight="false" outlineLevel="0" collapsed="false">
      <c r="A25" s="14" t="n">
        <v>30</v>
      </c>
      <c r="B25" s="14" t="n">
        <v>2</v>
      </c>
      <c r="C25" s="14" t="n">
        <v>5</v>
      </c>
      <c r="D25" s="14" t="str">
        <f aca="false">VLOOKUP(Table123[[#This Row],[ID]], riskBugs!A:I, 9, 0)</f>
        <v> https://code4rena.com/reports/2021-09-yaxis#h-01-controllersetcap-sets-wrong-vault-balance</v>
      </c>
      <c r="E25" s="14" t="str">
        <f aca="false">VLOOKUP(Table123[[#This Row],[ID]], riskBugs!A:I, 6, 0)</f>
        <v>Controller.sol</v>
      </c>
      <c r="F25" s="14" t="s">
        <v>3128</v>
      </c>
      <c r="G25" s="14" t="s">
        <v>3129</v>
      </c>
      <c r="H25" s="14" t="s">
        <v>2033</v>
      </c>
      <c r="I25" s="14"/>
      <c r="J25" s="14" t="s">
        <v>3130</v>
      </c>
    </row>
    <row r="26" customFormat="false" ht="14.5" hidden="false" customHeight="false" outlineLevel="0" collapsed="false">
      <c r="A26" s="14" t="n">
        <v>35</v>
      </c>
      <c r="B26" s="14" t="n">
        <v>2</v>
      </c>
      <c r="C26" s="14" t="n">
        <v>4</v>
      </c>
      <c r="D26" s="14" t="str">
        <f aca="false">VLOOKUP(Table123[[#This Row],[ID]], riskBugs!A:I, 9, 0)</f>
        <v> https://code4rena.com/reports/2021-09-sushitrident-2#h-02-wrong-usage-of-positionid-in-concentratedliquiditypoolmanager</v>
      </c>
      <c r="E26" s="14" t="str">
        <f aca="false">VLOOKUP(Table123[[#This Row],[ID]], riskBugs!A:I, 6, 0)</f>
        <v>ConcentratedLiquidityPoolManager.sol</v>
      </c>
      <c r="F26" s="14" t="s">
        <v>3131</v>
      </c>
      <c r="G26" s="14" t="s">
        <v>3099</v>
      </c>
      <c r="H26" s="14" t="s">
        <v>2033</v>
      </c>
      <c r="I26" s="14"/>
      <c r="J26" s="14" t="s">
        <v>3132</v>
      </c>
    </row>
    <row r="27" customFormat="false" ht="14.5" hidden="false" customHeight="false" outlineLevel="0" collapsed="false">
      <c r="A27" s="14" t="n">
        <v>35</v>
      </c>
      <c r="B27" s="14" t="n">
        <v>2</v>
      </c>
      <c r="C27" s="14" t="n">
        <v>5</v>
      </c>
      <c r="D27" s="14" t="str">
        <f aca="false">VLOOKUP(Table123[[#This Row],[ID]], riskBugs!A:I, 9, 0)</f>
        <v> https://code4rena.com/reports/2021-09-sushitrident-2#h-02-wrong-usage-of-positionid-in-concentratedliquiditypoolmanager</v>
      </c>
      <c r="E27" s="14" t="str">
        <f aca="false">VLOOKUP(Table123[[#This Row],[ID]], riskBugs!A:I, 6, 0)</f>
        <v>ConcentratedLiquidityPoolManager.sol</v>
      </c>
      <c r="F27" s="14" t="s">
        <v>2297</v>
      </c>
      <c r="G27" s="14" t="s">
        <v>3099</v>
      </c>
      <c r="H27" s="14" t="s">
        <v>2033</v>
      </c>
      <c r="I27" s="14"/>
      <c r="J27" s="14" t="s">
        <v>3134</v>
      </c>
    </row>
    <row r="28" customFormat="false" ht="14.5" hidden="false" customHeight="false" outlineLevel="0" collapsed="false">
      <c r="A28" s="14" t="n">
        <v>35</v>
      </c>
      <c r="B28" s="14" t="n">
        <v>2</v>
      </c>
      <c r="C28" s="14" t="n">
        <v>1</v>
      </c>
      <c r="D28" s="14" t="str">
        <f aca="false">VLOOKUP(Table123[[#This Row],[ID]], riskBugs!A:I, 9, 0)</f>
        <v> https://code4rena.com/reports/2021-09-sushitrident-2#h-02-wrong-usage-of-positionid-in-concentratedliquiditypoolmanager</v>
      </c>
      <c r="E28" s="14" t="str">
        <f aca="false">VLOOKUP(Table123[[#This Row],[ID]], riskBugs!A:I, 6, 0)</f>
        <v>ConcentratedLiquidityPoolManager.sol</v>
      </c>
      <c r="F28" s="14" t="s">
        <v>3135</v>
      </c>
      <c r="G28" s="14" t="s">
        <v>3099</v>
      </c>
      <c r="H28" s="14" t="s">
        <v>2033</v>
      </c>
      <c r="I28" s="14"/>
      <c r="J28" s="14" t="s">
        <v>3136</v>
      </c>
    </row>
    <row r="29" customFormat="false" ht="14.5" hidden="false" customHeight="false" outlineLevel="0" collapsed="false">
      <c r="A29" s="14" t="n">
        <v>35</v>
      </c>
      <c r="B29" s="14" t="n">
        <v>3</v>
      </c>
      <c r="C29" s="14" t="n">
        <v>2</v>
      </c>
      <c r="D29" s="14" t="str">
        <f aca="false">VLOOKUP(Table123[[#This Row],[ID]], riskBugs!A:I, 9, 0)</f>
        <v> https://code4rena.com/reports/2021-09-sushitrident-2#h-02-wrong-usage-of-positionid-in-concentratedliquiditypoolmanager</v>
      </c>
      <c r="E29" s="14" t="str">
        <f aca="false">VLOOKUP(Table123[[#This Row],[ID]], riskBugs!A:I, 6, 0)</f>
        <v>ConcentratedLiquidityPoolManager.sol</v>
      </c>
      <c r="F29" s="14" t="s">
        <v>3138</v>
      </c>
      <c r="G29" s="14" t="s">
        <v>3139</v>
      </c>
      <c r="H29" s="14" t="s">
        <v>5</v>
      </c>
      <c r="I29" s="7" t="s">
        <v>2628</v>
      </c>
      <c r="J29" s="14" t="s">
        <v>3140</v>
      </c>
    </row>
    <row r="30" customFormat="false" ht="14.5" hidden="false" customHeight="false" outlineLevel="0" collapsed="false">
      <c r="A30" s="14" t="n">
        <v>35</v>
      </c>
      <c r="B30" s="14" t="n">
        <v>3</v>
      </c>
      <c r="C30" s="14" t="n">
        <v>3</v>
      </c>
      <c r="D30" s="14" t="str">
        <f aca="false">VLOOKUP(Table123[[#This Row],[ID]], riskBugs!A:I, 9, 0)</f>
        <v> https://code4rena.com/reports/2021-09-sushitrident-2#h-02-wrong-usage-of-positionid-in-concentratedliquiditypoolmanager</v>
      </c>
      <c r="E30" s="14" t="str">
        <f aca="false">VLOOKUP(Table123[[#This Row],[ID]], riskBugs!A:I, 6, 0)</f>
        <v>ConcentratedLiquidityPoolManager.sol</v>
      </c>
      <c r="F30" s="14" t="s">
        <v>3141</v>
      </c>
      <c r="G30" s="14" t="s">
        <v>3099</v>
      </c>
      <c r="H30" s="14" t="s">
        <v>2005</v>
      </c>
      <c r="I30" s="14"/>
      <c r="J30" s="14" t="s">
        <v>3143</v>
      </c>
    </row>
    <row r="31" customFormat="false" ht="14.5" hidden="false" customHeight="false" outlineLevel="0" collapsed="false">
      <c r="A31" s="14" t="n">
        <v>38</v>
      </c>
      <c r="B31" s="14" t="n">
        <v>2</v>
      </c>
      <c r="C31" s="14" t="n">
        <v>3</v>
      </c>
      <c r="D31" s="14" t="str">
        <f aca="false">VLOOKUP(Table123[[#This Row],[ID]], riskBugs!A:I, 9, 0)</f>
        <v> https://code4rena.com/reports/2021-10-ambire#h-02-quickaccmanagersolcancel-wrong-hashtx-makes-it-impossible-to-cancel-a-scheduled-transaction</v>
      </c>
      <c r="E31" s="14" t="str">
        <f aca="false">VLOOKUP(Table123[[#This Row],[ID]], riskBugs!A:I, 6, 0)</f>
        <v>QuickAccManager.sol</v>
      </c>
      <c r="F31" s="14" t="s">
        <v>3144</v>
      </c>
      <c r="G31" s="14" t="s">
        <v>3145</v>
      </c>
      <c r="H31" s="14" t="s">
        <v>3360</v>
      </c>
      <c r="I31" s="14"/>
      <c r="J31" s="14" t="s">
        <v>3146</v>
      </c>
    </row>
    <row r="32" customFormat="false" ht="14.5" hidden="false" customHeight="false" outlineLevel="0" collapsed="false">
      <c r="A32" s="14" t="n">
        <v>41</v>
      </c>
      <c r="B32" s="14" t="n">
        <v>1</v>
      </c>
      <c r="C32" s="14" t="n">
        <v>3</v>
      </c>
      <c r="D32" s="14" t="str">
        <f aca="false">VLOOKUP(Table123[[#This Row],[ID]], riskBugs!A:I, 9, 0)</f>
        <v> https://code4rena.com/reports/2021-10-defiprotocol#h-01-bonding-mechanism-allows-malicious-user-to-dos-auctions</v>
      </c>
      <c r="E32" s="14" t="str">
        <f aca="false">VLOOKUP(Table123[[#This Row],[ID]], riskBugs!A:I, 6, 0)</f>
        <v>Auction.sol Basket.sol</v>
      </c>
      <c r="F32" s="14" t="s">
        <v>1179</v>
      </c>
      <c r="G32" s="14" t="s">
        <v>3148</v>
      </c>
      <c r="H32" s="14" t="s">
        <v>2033</v>
      </c>
      <c r="I32" s="14"/>
      <c r="J32" s="14" t="s">
        <v>3149</v>
      </c>
    </row>
    <row r="33" customFormat="false" ht="14.5" hidden="false" customHeight="false" outlineLevel="0" collapsed="false">
      <c r="A33" s="14" t="n">
        <v>41</v>
      </c>
      <c r="B33" s="14" t="n">
        <v>1</v>
      </c>
      <c r="C33" s="14" t="n">
        <v>5</v>
      </c>
      <c r="D33" s="14" t="str">
        <f aca="false">VLOOKUP(Table123[[#This Row],[ID]], riskBugs!A:I, 9, 0)</f>
        <v> https://code4rena.com/reports/2021-10-defiprotocol#h-01-bonding-mechanism-allows-malicious-user-to-dos-auctions</v>
      </c>
      <c r="E33" s="14" t="str">
        <f aca="false">VLOOKUP(Table123[[#This Row],[ID]], riskBugs!A:I, 6, 0)</f>
        <v>Auction.sol Basket.sol</v>
      </c>
      <c r="F33" s="14" t="s">
        <v>3150</v>
      </c>
      <c r="G33" s="14" t="s">
        <v>3151</v>
      </c>
      <c r="H33" s="14" t="s">
        <v>3361</v>
      </c>
      <c r="I33" s="14" t="s">
        <v>3350</v>
      </c>
      <c r="J33" s="14" t="s">
        <v>3152</v>
      </c>
    </row>
    <row r="34" customFormat="false" ht="14.5" hidden="false" customHeight="false" outlineLevel="0" collapsed="false">
      <c r="A34" s="14" t="n">
        <v>42</v>
      </c>
      <c r="B34" s="14" t="n">
        <v>1</v>
      </c>
      <c r="C34" s="14" t="n">
        <v>2</v>
      </c>
      <c r="D34" s="14" t="str">
        <f aca="false">VLOOKUP(Table123[[#This Row],[ID]], riskBugs!A:I, 9, 0)</f>
        <v> https://code4rena.com/reports/2021-10-mochi#h-01-vault-fails-to-track-debt-correctly-that-leads-to-bad-debt</v>
      </c>
      <c r="E34" s="14" t="str">
        <f aca="false">VLOOKUP(Table123[[#This Row],[ID]], riskBugs!A:I, 6, 0)</f>
        <v>MochiVault.sol</v>
      </c>
      <c r="F34" s="14" t="s">
        <v>3153</v>
      </c>
      <c r="G34" s="14" t="s">
        <v>3154</v>
      </c>
      <c r="H34" s="14" t="s">
        <v>2001</v>
      </c>
      <c r="I34" s="14"/>
      <c r="J34" s="14" t="s">
        <v>3155</v>
      </c>
    </row>
    <row r="35" customFormat="false" ht="14.5" hidden="false" customHeight="false" outlineLevel="0" collapsed="false">
      <c r="A35" s="14" t="n">
        <v>42</v>
      </c>
      <c r="B35" s="14" t="n">
        <v>1</v>
      </c>
      <c r="C35" s="14" t="n">
        <v>3</v>
      </c>
      <c r="D35" s="14" t="str">
        <f aca="false">VLOOKUP(Table123[[#This Row],[ID]], riskBugs!A:I, 9, 0)</f>
        <v> https://code4rena.com/reports/2021-10-mochi#h-01-vault-fails-to-track-debt-correctly-that-leads-to-bad-debt</v>
      </c>
      <c r="E35" s="14" t="str">
        <f aca="false">VLOOKUP(Table123[[#This Row],[ID]], riskBugs!A:I, 6, 0)</f>
        <v>MochiVault.sol</v>
      </c>
      <c r="F35" s="14" t="s">
        <v>3156</v>
      </c>
      <c r="G35" s="14" t="s">
        <v>3129</v>
      </c>
      <c r="H35" s="14" t="s">
        <v>2033</v>
      </c>
      <c r="I35" s="14"/>
      <c r="J35" s="14" t="s">
        <v>3157</v>
      </c>
    </row>
    <row r="36" customFormat="false" ht="14.5" hidden="false" customHeight="false" outlineLevel="0" collapsed="false">
      <c r="A36" s="14" t="n">
        <v>42</v>
      </c>
      <c r="B36" s="14" t="n">
        <v>1</v>
      </c>
      <c r="C36" s="14" t="n">
        <v>2</v>
      </c>
      <c r="D36" s="14" t="str">
        <f aca="false">VLOOKUP(Table123[[#This Row],[ID]], riskBugs!A:I, 9, 0)</f>
        <v> https://code4rena.com/reports/2021-10-mochi#h-01-vault-fails-to-track-debt-correctly-that-leads-to-bad-debt</v>
      </c>
      <c r="E36" s="14" t="str">
        <f aca="false">VLOOKUP(Table123[[#This Row],[ID]], riskBugs!A:I, 6, 0)</f>
        <v>MochiVault.sol</v>
      </c>
      <c r="F36" s="14" t="s">
        <v>3158</v>
      </c>
      <c r="G36" s="14" t="s">
        <v>3154</v>
      </c>
      <c r="H36" s="14" t="s">
        <v>2001</v>
      </c>
      <c r="I36" s="14"/>
      <c r="J36" s="14" t="s">
        <v>3159</v>
      </c>
    </row>
    <row r="37" customFormat="false" ht="14.5" hidden="false" customHeight="false" outlineLevel="0" collapsed="false">
      <c r="A37" s="14" t="n">
        <v>42</v>
      </c>
      <c r="B37" s="14" t="n">
        <v>1</v>
      </c>
      <c r="C37" s="14" t="n">
        <v>4</v>
      </c>
      <c r="D37" s="14" t="str">
        <f aca="false">VLOOKUP(Table123[[#This Row],[ID]], riskBugs!A:I, 9, 0)</f>
        <v> https://code4rena.com/reports/2021-10-mochi#h-01-vault-fails-to-track-debt-correctly-that-leads-to-bad-debt</v>
      </c>
      <c r="E37" s="14" t="str">
        <f aca="false">VLOOKUP(Table123[[#This Row],[ID]], riskBugs!A:I, 6, 0)</f>
        <v>MochiVault.sol</v>
      </c>
      <c r="F37" s="14" t="s">
        <v>993</v>
      </c>
      <c r="G37" s="14" t="s">
        <v>3160</v>
      </c>
      <c r="H37" s="14" t="s">
        <v>3362</v>
      </c>
      <c r="I37" s="14" t="s">
        <v>3350</v>
      </c>
      <c r="J37" s="14" t="s">
        <v>3161</v>
      </c>
    </row>
    <row r="38" customFormat="false" ht="14.5" hidden="false" customHeight="false" outlineLevel="0" collapsed="false">
      <c r="A38" s="14" t="n">
        <v>42</v>
      </c>
      <c r="B38" s="14" t="n">
        <v>2</v>
      </c>
      <c r="C38" s="14" t="n">
        <v>2</v>
      </c>
      <c r="D38" s="14" t="str">
        <f aca="false">VLOOKUP(Table123[[#This Row],[ID]], riskBugs!A:I, 9, 0)</f>
        <v> https://code4rena.com/reports/2021-10-mochi#h-01-vault-fails-to-track-debt-correctly-that-leads-to-bad-debt</v>
      </c>
      <c r="E38" s="14" t="str">
        <f aca="false">VLOOKUP(Table123[[#This Row],[ID]], riskBugs!A:I, 6, 0)</f>
        <v>MochiVault.sol</v>
      </c>
      <c r="F38" s="14" t="s">
        <v>3162</v>
      </c>
      <c r="G38" s="14" t="s">
        <v>3129</v>
      </c>
      <c r="H38" s="14" t="s">
        <v>2033</v>
      </c>
      <c r="I38" s="14"/>
      <c r="J38" s="14" t="s">
        <v>3163</v>
      </c>
    </row>
    <row r="39" customFormat="false" ht="14.5" hidden="false" customHeight="false" outlineLevel="0" collapsed="false">
      <c r="A39" s="14" t="n">
        <v>42</v>
      </c>
      <c r="B39" s="14" t="n">
        <v>2</v>
      </c>
      <c r="C39" s="14" t="n">
        <v>2</v>
      </c>
      <c r="D39" s="14" t="str">
        <f aca="false">VLOOKUP(Table123[[#This Row],[ID]], riskBugs!A:I, 9, 0)</f>
        <v> https://code4rena.com/reports/2021-10-mochi#h-01-vault-fails-to-track-debt-correctly-that-leads-to-bad-debt</v>
      </c>
      <c r="E39" s="14" t="str">
        <f aca="false">VLOOKUP(Table123[[#This Row],[ID]], riskBugs!A:I, 6, 0)</f>
        <v>MochiVault.sol</v>
      </c>
      <c r="F39" s="14" t="s">
        <v>3164</v>
      </c>
      <c r="G39" s="14" t="s">
        <v>3129</v>
      </c>
      <c r="H39" s="14" t="s">
        <v>2033</v>
      </c>
      <c r="I39" s="14"/>
      <c r="J39" s="14" t="s">
        <v>3165</v>
      </c>
    </row>
    <row r="40" customFormat="false" ht="14.5" hidden="false" customHeight="false" outlineLevel="0" collapsed="false">
      <c r="A40" s="14" t="n">
        <v>42</v>
      </c>
      <c r="B40" s="14" t="n">
        <v>2</v>
      </c>
      <c r="C40" s="14" t="n">
        <v>3</v>
      </c>
      <c r="D40" s="14" t="str">
        <f aca="false">VLOOKUP(Table123[[#This Row],[ID]], riskBugs!A:I, 9, 0)</f>
        <v> https://code4rena.com/reports/2021-10-mochi#h-01-vault-fails-to-track-debt-correctly-that-leads-to-bad-debt</v>
      </c>
      <c r="E40" s="14" t="str">
        <f aca="false">VLOOKUP(Table123[[#This Row],[ID]], riskBugs!A:I, 6, 0)</f>
        <v>MochiVault.sol</v>
      </c>
      <c r="F40" s="14" t="s">
        <v>3166</v>
      </c>
      <c r="G40" s="14" t="s">
        <v>3167</v>
      </c>
      <c r="H40" s="14" t="s">
        <v>2033</v>
      </c>
      <c r="I40" s="14"/>
      <c r="J40" s="14" t="s">
        <v>3168</v>
      </c>
    </row>
    <row r="41" customFormat="false" ht="14.5" hidden="false" customHeight="false" outlineLevel="0" collapsed="false">
      <c r="A41" s="14" t="n">
        <v>42</v>
      </c>
      <c r="B41" s="14" t="n">
        <v>3</v>
      </c>
      <c r="C41" s="14" t="n">
        <v>4</v>
      </c>
      <c r="D41" s="14" t="str">
        <f aca="false">VLOOKUP(Table123[[#This Row],[ID]], riskBugs!A:I, 9, 0)</f>
        <v> https://code4rena.com/reports/2021-10-mochi#h-01-vault-fails-to-track-debt-correctly-that-leads-to-bad-debt</v>
      </c>
      <c r="E41" s="14" t="str">
        <f aca="false">VLOOKUP(Table123[[#This Row],[ID]], riskBugs!A:I, 6, 0)</f>
        <v>MochiVault.sol</v>
      </c>
      <c r="F41" s="14" t="s">
        <v>3164</v>
      </c>
      <c r="G41" s="14" t="s">
        <v>3154</v>
      </c>
      <c r="H41" s="14" t="s">
        <v>2001</v>
      </c>
      <c r="I41" s="14"/>
      <c r="J41" s="14" t="s">
        <v>3170</v>
      </c>
    </row>
    <row r="42" customFormat="false" ht="14.5" hidden="false" customHeight="false" outlineLevel="0" collapsed="false">
      <c r="A42" s="14" t="n">
        <v>42</v>
      </c>
      <c r="B42" s="14" t="n">
        <v>3</v>
      </c>
      <c r="C42" s="14" t="n">
        <v>2</v>
      </c>
      <c r="D42" s="14" t="str">
        <f aca="false">VLOOKUP(Table123[[#This Row],[ID]], riskBugs!A:I, 9, 0)</f>
        <v> https://code4rena.com/reports/2021-10-mochi#h-01-vault-fails-to-track-debt-correctly-that-leads-to-bad-debt</v>
      </c>
      <c r="E42" s="14" t="str">
        <f aca="false">VLOOKUP(Table123[[#This Row],[ID]], riskBugs!A:I, 6, 0)</f>
        <v>MochiVault.sol</v>
      </c>
      <c r="F42" s="14" t="s">
        <v>1179</v>
      </c>
      <c r="G42" s="14" t="s">
        <v>3129</v>
      </c>
      <c r="H42" s="14" t="s">
        <v>2033</v>
      </c>
      <c r="I42" s="14"/>
      <c r="J42" s="14" t="s">
        <v>3172</v>
      </c>
    </row>
    <row r="43" customFormat="false" ht="14.5" hidden="false" customHeight="false" outlineLevel="0" collapsed="false">
      <c r="A43" s="14" t="n">
        <v>42</v>
      </c>
      <c r="B43" s="14" t="n">
        <v>3</v>
      </c>
      <c r="C43" s="14" t="n">
        <v>3</v>
      </c>
      <c r="D43" s="14" t="str">
        <f aca="false">VLOOKUP(Table123[[#This Row],[ID]], riskBugs!A:I, 9, 0)</f>
        <v> https://code4rena.com/reports/2021-10-mochi#h-01-vault-fails-to-track-debt-correctly-that-leads-to-bad-debt</v>
      </c>
      <c r="E43" s="14" t="str">
        <f aca="false">VLOOKUP(Table123[[#This Row],[ID]], riskBugs!A:I, 6, 0)</f>
        <v>MochiVault.sol</v>
      </c>
      <c r="F43" s="14" t="s">
        <v>1489</v>
      </c>
      <c r="G43" s="14" t="s">
        <v>3173</v>
      </c>
      <c r="H43" s="14" t="s">
        <v>2033</v>
      </c>
      <c r="I43" s="14"/>
      <c r="J43" s="14" t="s">
        <v>3174</v>
      </c>
    </row>
    <row r="44" customFormat="false" ht="14.5" hidden="false" customHeight="false" outlineLevel="0" collapsed="false">
      <c r="A44" s="14" t="n">
        <v>47</v>
      </c>
      <c r="B44" s="14" t="n">
        <v>2</v>
      </c>
      <c r="C44" s="14" t="n">
        <v>3</v>
      </c>
      <c r="D44" s="14" t="str">
        <f aca="false">VLOOKUP(Table123[[#This Row],[ID]], riskBugs!A:I, 9, 0)</f>
        <v> https://code4rena.com/reports/2021-10-badgerdao#h-01-the-design-of-wibbtc-is-not-fully-compatible-with-the-current-curve-stableswap-pool</v>
      </c>
      <c r="E44" s="14" t="str">
        <f aca="false">VLOOKUP(Table123[[#This Row],[ID]], riskBugs!A:I, 6, 0)</f>
        <v>WrappedIbbtc.sol WrappedIbbtcEth.sol</v>
      </c>
      <c r="F44" s="14" t="s">
        <v>1561</v>
      </c>
      <c r="G44" s="14" t="s">
        <v>3175</v>
      </c>
      <c r="H44" s="14" t="s">
        <v>2005</v>
      </c>
      <c r="I44" s="14"/>
      <c r="J44" s="14" t="s">
        <v>3176</v>
      </c>
    </row>
    <row r="45" customFormat="false" ht="14.5" hidden="false" customHeight="false" outlineLevel="0" collapsed="false">
      <c r="A45" s="14" t="n">
        <v>47</v>
      </c>
      <c r="B45" s="14" t="n">
        <v>3</v>
      </c>
      <c r="C45" s="14" t="n">
        <v>3</v>
      </c>
      <c r="D45" s="14" t="str">
        <f aca="false">VLOOKUP(Table123[[#This Row],[ID]], riskBugs!A:I, 9, 0)</f>
        <v> https://code4rena.com/reports/2021-10-badgerdao#h-01-the-design-of-wibbtc-is-not-fully-compatible-with-the-current-curve-stableswap-pool</v>
      </c>
      <c r="E45" s="14" t="str">
        <f aca="false">VLOOKUP(Table123[[#This Row],[ID]], riskBugs!A:I, 6, 0)</f>
        <v>WrappedIbbtc.sol WrappedIbbtcEth.sol</v>
      </c>
      <c r="F45" s="14" t="s">
        <v>1534</v>
      </c>
      <c r="G45" s="14" t="s">
        <v>3091</v>
      </c>
      <c r="H45" s="14" t="s">
        <v>2005</v>
      </c>
      <c r="I45" s="14"/>
      <c r="J45" s="14" t="s">
        <v>3178</v>
      </c>
    </row>
    <row r="46" customFormat="false" ht="14.5" hidden="false" customHeight="false" outlineLevel="0" collapsed="false">
      <c r="A46" s="14" t="n">
        <v>47</v>
      </c>
      <c r="B46" s="14" t="n">
        <v>3</v>
      </c>
      <c r="C46" s="14" t="n">
        <v>4</v>
      </c>
      <c r="D46" s="14" t="str">
        <f aca="false">VLOOKUP(Table123[[#This Row],[ID]], riskBugs!A:I, 9, 0)</f>
        <v> https://code4rena.com/reports/2021-10-badgerdao#h-01-the-design-of-wibbtc-is-not-fully-compatible-with-the-current-curve-stableswap-pool</v>
      </c>
      <c r="E46" s="14" t="str">
        <f aca="false">VLOOKUP(Table123[[#This Row],[ID]], riskBugs!A:I, 6, 0)</f>
        <v>WrappedIbbtc.sol WrappedIbbtcEth.sol</v>
      </c>
      <c r="F46" s="14" t="s">
        <v>1526</v>
      </c>
      <c r="G46" s="14" t="s">
        <v>3154</v>
      </c>
      <c r="H46" s="14" t="s">
        <v>2001</v>
      </c>
      <c r="I46" s="14"/>
      <c r="J46" s="14" t="s">
        <v>3180</v>
      </c>
    </row>
    <row r="47" customFormat="false" ht="14.5" hidden="false" customHeight="false" outlineLevel="0" collapsed="false">
      <c r="A47" s="14" t="n">
        <v>52</v>
      </c>
      <c r="B47" s="14" t="n">
        <v>1</v>
      </c>
      <c r="C47" s="14" t="n">
        <v>1</v>
      </c>
      <c r="D47" s="14" t="str">
        <f aca="false">VLOOKUP(Table123[[#This Row],[ID]], riskBugs!A:I, 9, 0)</f>
        <v> https://code4rena.com/reports/2021-11-vader#h-01-minting-and-burning-synths-exposes-users-to-unlimited-slippage</v>
      </c>
      <c r="E47" s="14" t="str">
        <f aca="false">VLOOKUP(Table123[[#This Row],[ID]], riskBugs!A:I, 6, 0)</f>
        <v>VaderPoolV2.sol</v>
      </c>
      <c r="F47" s="14" t="s">
        <v>928</v>
      </c>
      <c r="G47" s="14" t="s">
        <v>3181</v>
      </c>
      <c r="H47" s="14" t="s">
        <v>3363</v>
      </c>
      <c r="I47" s="14" t="s">
        <v>3350</v>
      </c>
      <c r="J47" s="14" t="s">
        <v>3182</v>
      </c>
    </row>
    <row r="48" customFormat="false" ht="14.5" hidden="false" customHeight="false" outlineLevel="0" collapsed="false">
      <c r="A48" s="14" t="n">
        <v>52</v>
      </c>
      <c r="B48" s="14" t="n">
        <v>1</v>
      </c>
      <c r="C48" s="14" t="n">
        <v>1</v>
      </c>
      <c r="D48" s="14" t="str">
        <f aca="false">VLOOKUP(Table123[[#This Row],[ID]], riskBugs!A:I, 9, 0)</f>
        <v> https://code4rena.com/reports/2021-11-vader#h-01-minting-and-burning-synths-exposes-users-to-unlimited-slippage</v>
      </c>
      <c r="E48" s="14" t="str">
        <f aca="false">VLOOKUP(Table123[[#This Row],[ID]], riskBugs!A:I, 6, 0)</f>
        <v>VaderPoolV2.sol</v>
      </c>
      <c r="F48" s="14" t="s">
        <v>1489</v>
      </c>
      <c r="G48" s="14" t="s">
        <v>3183</v>
      </c>
      <c r="H48" s="14" t="s">
        <v>3358</v>
      </c>
      <c r="I48" s="14"/>
      <c r="J48" s="14" t="s">
        <v>3184</v>
      </c>
    </row>
    <row r="49" customFormat="false" ht="14.5" hidden="false" customHeight="false" outlineLevel="0" collapsed="false">
      <c r="A49" s="14" t="n">
        <v>52</v>
      </c>
      <c r="B49" s="14" t="n">
        <v>1</v>
      </c>
      <c r="C49" s="14" t="n">
        <v>2</v>
      </c>
      <c r="D49" s="14" t="str">
        <f aca="false">VLOOKUP(Table123[[#This Row],[ID]], riskBugs!A:I, 9, 0)</f>
        <v> https://code4rena.com/reports/2021-11-vader#h-01-minting-and-burning-synths-exposes-users-to-unlimited-slippage</v>
      </c>
      <c r="E49" s="14" t="str">
        <f aca="false">VLOOKUP(Table123[[#This Row],[ID]], riskBugs!A:I, 6, 0)</f>
        <v>VaderPoolV2.sol</v>
      </c>
      <c r="F49" s="14" t="s">
        <v>3185</v>
      </c>
      <c r="G49" s="14" t="s">
        <v>3186</v>
      </c>
      <c r="H49" s="14" t="s">
        <v>2069</v>
      </c>
      <c r="I49" s="14" t="s">
        <v>3350</v>
      </c>
      <c r="J49" s="14" t="s">
        <v>3187</v>
      </c>
    </row>
    <row r="50" customFormat="false" ht="14.5" hidden="false" customHeight="false" outlineLevel="0" collapsed="false">
      <c r="A50" s="14" t="n">
        <v>52</v>
      </c>
      <c r="B50" s="14" t="n">
        <v>1</v>
      </c>
      <c r="C50" s="14" t="n">
        <v>4</v>
      </c>
      <c r="D50" s="14" t="str">
        <f aca="false">VLOOKUP(Table123[[#This Row],[ID]], riskBugs!A:I, 9, 0)</f>
        <v> https://code4rena.com/reports/2021-11-vader#h-01-minting-and-burning-synths-exposes-users-to-unlimited-slippage</v>
      </c>
      <c r="E50" s="14" t="str">
        <f aca="false">VLOOKUP(Table123[[#This Row],[ID]], riskBugs!A:I, 6, 0)</f>
        <v>VaderPoolV2.sol</v>
      </c>
      <c r="F50" s="14" t="s">
        <v>3188</v>
      </c>
      <c r="G50" s="14" t="s">
        <v>3189</v>
      </c>
      <c r="H50" s="14" t="s">
        <v>2033</v>
      </c>
      <c r="I50" s="14"/>
      <c r="J50" s="14" t="s">
        <v>3364</v>
      </c>
    </row>
    <row r="51" customFormat="false" ht="14.5" hidden="false" customHeight="false" outlineLevel="0" collapsed="false">
      <c r="A51" s="14" t="n">
        <v>52</v>
      </c>
      <c r="B51" s="14" t="n">
        <v>2</v>
      </c>
      <c r="C51" s="14" t="n">
        <v>6</v>
      </c>
      <c r="D51" s="14" t="str">
        <f aca="false">VLOOKUP(Table123[[#This Row],[ID]], riskBugs!A:I, 9, 0)</f>
        <v> https://code4rena.com/reports/2021-11-vader#h-01-minting-and-burning-synths-exposes-users-to-unlimited-slippage</v>
      </c>
      <c r="E51" s="14" t="str">
        <f aca="false">VLOOKUP(Table123[[#This Row],[ID]], riskBugs!A:I, 6, 0)</f>
        <v>VaderPoolV2.sol</v>
      </c>
      <c r="F51" s="14" t="s">
        <v>3192</v>
      </c>
      <c r="G51" s="14" t="s">
        <v>3129</v>
      </c>
      <c r="H51" s="14" t="s">
        <v>2033</v>
      </c>
      <c r="I51" s="14"/>
      <c r="J51" s="14" t="s">
        <v>3194</v>
      </c>
    </row>
    <row r="52" customFormat="false" ht="14.5" hidden="false" customHeight="false" outlineLevel="0" collapsed="false">
      <c r="A52" s="14" t="n">
        <v>52</v>
      </c>
      <c r="B52" s="14" t="n">
        <v>2</v>
      </c>
      <c r="C52" s="14" t="n">
        <v>7</v>
      </c>
      <c r="D52" s="14" t="str">
        <f aca="false">VLOOKUP(Table123[[#This Row],[ID]], riskBugs!A:I, 9, 0)</f>
        <v> https://code4rena.com/reports/2021-11-vader#h-01-minting-and-burning-synths-exposes-users-to-unlimited-slippage</v>
      </c>
      <c r="E52" s="14" t="str">
        <f aca="false">VLOOKUP(Table123[[#This Row],[ID]], riskBugs!A:I, 6, 0)</f>
        <v>VaderPoolV2.sol</v>
      </c>
      <c r="F52" s="14" t="s">
        <v>2856</v>
      </c>
      <c r="G52" s="14" t="s">
        <v>3129</v>
      </c>
      <c r="H52" s="14" t="s">
        <v>2033</v>
      </c>
      <c r="I52" s="14"/>
      <c r="J52" s="14" t="s">
        <v>3195</v>
      </c>
    </row>
    <row r="53" customFormat="false" ht="14.5" hidden="false" customHeight="false" outlineLevel="0" collapsed="false">
      <c r="A53" s="14" t="n">
        <v>52</v>
      </c>
      <c r="B53" s="14" t="n">
        <v>2</v>
      </c>
      <c r="C53" s="14" t="n">
        <v>8</v>
      </c>
      <c r="D53" s="14" t="str">
        <f aca="false">VLOOKUP(Table123[[#This Row],[ID]], riskBugs!A:I, 9, 0)</f>
        <v> https://code4rena.com/reports/2021-11-vader#h-01-minting-and-burning-synths-exposes-users-to-unlimited-slippage</v>
      </c>
      <c r="E53" s="14" t="str">
        <f aca="false">VLOOKUP(Table123[[#This Row],[ID]], riskBugs!A:I, 6, 0)</f>
        <v>VaderPoolV2.sol</v>
      </c>
      <c r="F53" s="14" t="s">
        <v>3196</v>
      </c>
      <c r="G53" s="14" t="s">
        <v>3129</v>
      </c>
      <c r="H53" s="14" t="s">
        <v>2033</v>
      </c>
      <c r="I53" s="14"/>
      <c r="J53" s="14" t="s">
        <v>3197</v>
      </c>
    </row>
    <row r="54" customFormat="false" ht="14.5" hidden="false" customHeight="false" outlineLevel="0" collapsed="false">
      <c r="A54" s="14" t="n">
        <v>52</v>
      </c>
      <c r="B54" s="14" t="n">
        <v>2</v>
      </c>
      <c r="C54" s="14" t="n">
        <v>1</v>
      </c>
      <c r="D54" s="14" t="str">
        <f aca="false">VLOOKUP(Table123[[#This Row],[ID]], riskBugs!A:I, 9, 0)</f>
        <v> https://code4rena.com/reports/2021-11-vader#h-01-minting-and-burning-synths-exposes-users-to-unlimited-slippage</v>
      </c>
      <c r="E54" s="14" t="str">
        <f aca="false">VLOOKUP(Table123[[#This Row],[ID]], riskBugs!A:I, 6, 0)</f>
        <v>VaderPoolV2.sol</v>
      </c>
      <c r="F54" s="14" t="s">
        <v>1014</v>
      </c>
      <c r="G54" s="14" t="s">
        <v>3198</v>
      </c>
      <c r="H54" s="14" t="s">
        <v>2005</v>
      </c>
      <c r="I54" s="14"/>
      <c r="J54" s="14" t="s">
        <v>3199</v>
      </c>
    </row>
    <row r="55" customFormat="false" ht="14.5" hidden="false" customHeight="false" outlineLevel="0" collapsed="false">
      <c r="A55" s="14" t="n">
        <v>52</v>
      </c>
      <c r="B55" s="14" t="n">
        <v>2</v>
      </c>
      <c r="C55" s="14" t="n">
        <v>3</v>
      </c>
      <c r="D55" s="14" t="str">
        <f aca="false">VLOOKUP(Table123[[#This Row],[ID]], riskBugs!A:I, 9, 0)</f>
        <v> https://code4rena.com/reports/2021-11-vader#h-01-minting-and-burning-synths-exposes-users-to-unlimited-slippage</v>
      </c>
      <c r="E55" s="14" t="str">
        <f aca="false">VLOOKUP(Table123[[#This Row],[ID]], riskBugs!A:I, 6, 0)</f>
        <v>VaderPoolV2.sol</v>
      </c>
      <c r="F55" s="14" t="s">
        <v>1228</v>
      </c>
      <c r="G55" s="14" t="s">
        <v>3200</v>
      </c>
      <c r="H55" s="14" t="s">
        <v>2005</v>
      </c>
      <c r="I55" s="14"/>
      <c r="J55" s="14" t="s">
        <v>3201</v>
      </c>
    </row>
    <row r="56" customFormat="false" ht="14.5" hidden="false" customHeight="false" outlineLevel="0" collapsed="false">
      <c r="A56" s="14" t="n">
        <v>52</v>
      </c>
      <c r="B56" s="14" t="n">
        <v>3</v>
      </c>
      <c r="C56" s="14" t="n">
        <v>1</v>
      </c>
      <c r="D56" s="14" t="str">
        <f aca="false">VLOOKUP(Table123[[#This Row],[ID]], riskBugs!A:I, 9, 0)</f>
        <v> https://code4rena.com/reports/2021-11-vader#h-01-minting-and-burning-synths-exposes-users-to-unlimited-slippage</v>
      </c>
      <c r="E56" s="14" t="str">
        <f aca="false">VLOOKUP(Table123[[#This Row],[ID]], riskBugs!A:I, 6, 0)</f>
        <v>VaderPoolV2.sol</v>
      </c>
      <c r="F56" s="14" t="s">
        <v>1617</v>
      </c>
      <c r="G56" s="14" t="s">
        <v>3202</v>
      </c>
      <c r="H56" s="14" t="s">
        <v>2054</v>
      </c>
      <c r="I56" s="7" t="s">
        <v>2055</v>
      </c>
      <c r="J56" s="14" t="s">
        <v>3203</v>
      </c>
    </row>
    <row r="57" customFormat="false" ht="14.5" hidden="false" customHeight="false" outlineLevel="0" collapsed="false">
      <c r="A57" s="14" t="n">
        <v>52</v>
      </c>
      <c r="B57" s="14" t="n">
        <v>3</v>
      </c>
      <c r="C57" s="14" t="n">
        <v>1</v>
      </c>
      <c r="D57" s="14" t="str">
        <f aca="false">VLOOKUP(Table123[[#This Row],[ID]], riskBugs!A:I, 9, 0)</f>
        <v> https://code4rena.com/reports/2021-11-vader#h-01-minting-and-burning-synths-exposes-users-to-unlimited-slippage</v>
      </c>
      <c r="E57" s="14" t="str">
        <f aca="false">VLOOKUP(Table123[[#This Row],[ID]], riskBugs!A:I, 6, 0)</f>
        <v>VaderPoolV2.sol</v>
      </c>
      <c r="F57" s="14" t="s">
        <v>1592</v>
      </c>
      <c r="G57" s="14" t="s">
        <v>3204</v>
      </c>
      <c r="H57" s="14" t="s">
        <v>2005</v>
      </c>
      <c r="I57" s="14"/>
      <c r="J57" s="14" t="s">
        <v>3205</v>
      </c>
    </row>
    <row r="58" customFormat="false" ht="14.5" hidden="false" customHeight="false" outlineLevel="0" collapsed="false">
      <c r="A58" s="14" t="n">
        <v>52</v>
      </c>
      <c r="B58" s="14" t="n">
        <v>3</v>
      </c>
      <c r="C58" s="14" t="n">
        <v>4</v>
      </c>
      <c r="D58" s="14" t="str">
        <f aca="false">VLOOKUP(Table123[[#This Row],[ID]], riskBugs!A:I, 9, 0)</f>
        <v> https://code4rena.com/reports/2021-11-vader#h-01-minting-and-burning-synths-exposes-users-to-unlimited-slippage</v>
      </c>
      <c r="E58" s="14" t="str">
        <f aca="false">VLOOKUP(Table123[[#This Row],[ID]], riskBugs!A:I, 6, 0)</f>
        <v>VaderPoolV2.sol</v>
      </c>
      <c r="F58" s="14" t="s">
        <v>1058</v>
      </c>
      <c r="G58" s="14" t="s">
        <v>3206</v>
      </c>
      <c r="H58" s="14" t="s">
        <v>3358</v>
      </c>
      <c r="I58" s="14"/>
      <c r="J58" s="14" t="s">
        <v>3207</v>
      </c>
    </row>
    <row r="59" customFormat="false" ht="14.5" hidden="false" customHeight="false" outlineLevel="0" collapsed="false">
      <c r="A59" s="14" t="n">
        <v>52</v>
      </c>
      <c r="B59" s="14" t="n">
        <v>3</v>
      </c>
      <c r="C59" s="14" t="n">
        <v>5</v>
      </c>
      <c r="D59" s="14" t="str">
        <f aca="false">VLOOKUP(Table123[[#This Row],[ID]], riskBugs!A:I, 9, 0)</f>
        <v> https://code4rena.com/reports/2021-11-vader#h-01-minting-and-burning-synths-exposes-users-to-unlimited-slippage</v>
      </c>
      <c r="E59" s="14" t="str">
        <f aca="false">VLOOKUP(Table123[[#This Row],[ID]], riskBugs!A:I, 6, 0)</f>
        <v>VaderPoolV2.sol</v>
      </c>
      <c r="F59" s="14" t="s">
        <v>3192</v>
      </c>
      <c r="G59" s="14" t="s">
        <v>3208</v>
      </c>
      <c r="H59" s="14" t="s">
        <v>2005</v>
      </c>
      <c r="I59" s="14"/>
      <c r="J59" s="14" t="s">
        <v>3209</v>
      </c>
    </row>
    <row r="60" customFormat="false" ht="14.5" hidden="false" customHeight="false" outlineLevel="0" collapsed="false">
      <c r="A60" s="14" t="n">
        <v>52</v>
      </c>
      <c r="B60" s="14" t="n">
        <v>3</v>
      </c>
      <c r="C60" s="14" t="n">
        <v>1</v>
      </c>
      <c r="D60" s="14" t="str">
        <f aca="false">VLOOKUP(Table123[[#This Row],[ID]], riskBugs!A:I, 9, 0)</f>
        <v> https://code4rena.com/reports/2021-11-vader#h-01-minting-and-burning-synths-exposes-users-to-unlimited-slippage</v>
      </c>
      <c r="E60" s="14" t="str">
        <f aca="false">VLOOKUP(Table123[[#This Row],[ID]], riskBugs!A:I, 6, 0)</f>
        <v>VaderPoolV2.sol</v>
      </c>
      <c r="F60" s="14" t="s">
        <v>3211</v>
      </c>
      <c r="G60" s="14" t="s">
        <v>3212</v>
      </c>
      <c r="H60" s="14" t="s">
        <v>3365</v>
      </c>
      <c r="I60" s="14" t="s">
        <v>3350</v>
      </c>
      <c r="J60" s="14" t="s">
        <v>3213</v>
      </c>
    </row>
    <row r="61" customFormat="false" ht="14.5" hidden="false" customHeight="false" outlineLevel="0" collapsed="false">
      <c r="A61" s="14" t="n">
        <v>52</v>
      </c>
      <c r="B61" s="14" t="n">
        <v>3</v>
      </c>
      <c r="C61" s="14" t="n">
        <v>3</v>
      </c>
      <c r="D61" s="14" t="str">
        <f aca="false">VLOOKUP(Table123[[#This Row],[ID]], riskBugs!A:I, 9, 0)</f>
        <v> https://code4rena.com/reports/2021-11-vader#h-01-minting-and-burning-synths-exposes-users-to-unlimited-slippage</v>
      </c>
      <c r="E61" s="14" t="str">
        <f aca="false">VLOOKUP(Table123[[#This Row],[ID]], riskBugs!A:I, 6, 0)</f>
        <v>VaderPoolV2.sol</v>
      </c>
      <c r="F61" s="14" t="s">
        <v>3214</v>
      </c>
      <c r="G61" s="14" t="s">
        <v>2504</v>
      </c>
      <c r="H61" s="14" t="s">
        <v>2008</v>
      </c>
      <c r="I61" s="14"/>
      <c r="J61" s="14" t="s">
        <v>3215</v>
      </c>
    </row>
    <row r="62" customFormat="false" ht="14.5" hidden="false" customHeight="false" outlineLevel="0" collapsed="false">
      <c r="A62" s="14" t="n">
        <v>53</v>
      </c>
      <c r="B62" s="14" t="n">
        <v>1</v>
      </c>
      <c r="C62" s="14" t="n">
        <v>1</v>
      </c>
      <c r="D62" s="14" t="str">
        <f aca="false">VLOOKUP(Table123[[#This Row],[ID]], riskBugs!A:I, 9, 0)</f>
        <v> https://code4rena.com/reports/2021-11-nested#h-01-copy-your-own-portfolio-to-keep-earning-royalties-</v>
      </c>
      <c r="E62" s="14" t="str">
        <f aca="false">VLOOKUP(Table123[[#This Row],[ID]], riskBugs!A:I, 6, 0)</f>
        <v>NestedFactory.sol FeeSplitter.sol NestedAsset.sol</v>
      </c>
      <c r="F62" s="14" t="s">
        <v>3217</v>
      </c>
      <c r="G62" s="14" t="s">
        <v>3218</v>
      </c>
      <c r="H62" s="14" t="s">
        <v>2008</v>
      </c>
      <c r="I62" s="14"/>
      <c r="J62" s="14" t="s">
        <v>3219</v>
      </c>
    </row>
    <row r="63" customFormat="false" ht="14.5" hidden="false" customHeight="false" outlineLevel="0" collapsed="false">
      <c r="A63" s="14" t="n">
        <v>53</v>
      </c>
      <c r="B63" s="14" t="n">
        <v>2</v>
      </c>
      <c r="C63" s="14" t="n">
        <v>3</v>
      </c>
      <c r="D63" s="14" t="str">
        <f aca="false">VLOOKUP(Table123[[#This Row],[ID]], riskBugs!A:I, 9, 0)</f>
        <v> https://code4rena.com/reports/2021-11-nested#h-01-copy-your-own-portfolio-to-keep-earning-royalties-</v>
      </c>
      <c r="E63" s="14" t="str">
        <f aca="false">VLOOKUP(Table123[[#This Row],[ID]], riskBugs!A:I, 6, 0)</f>
        <v>NestedFactory.sol FeeSplitter.sol NestedAsset.sol</v>
      </c>
      <c r="F63" s="14" t="s">
        <v>3221</v>
      </c>
      <c r="G63" s="14" t="s">
        <v>3088</v>
      </c>
      <c r="H63" s="14" t="s">
        <v>3366</v>
      </c>
      <c r="I63" s="14"/>
      <c r="J63" s="14" t="s">
        <v>3222</v>
      </c>
    </row>
    <row r="64" customFormat="false" ht="14.5" hidden="false" customHeight="false" outlineLevel="0" collapsed="false">
      <c r="A64" s="14" t="n">
        <v>53</v>
      </c>
      <c r="B64" s="14" t="n">
        <v>2</v>
      </c>
      <c r="C64" s="14" t="n">
        <v>4</v>
      </c>
      <c r="D64" s="14" t="str">
        <f aca="false">VLOOKUP(Table123[[#This Row],[ID]], riskBugs!A:I, 9, 0)</f>
        <v> https://code4rena.com/reports/2021-11-nested#h-01-copy-your-own-portfolio-to-keep-earning-royalties-</v>
      </c>
      <c r="E64" s="14" t="str">
        <f aca="false">VLOOKUP(Table123[[#This Row],[ID]], riskBugs!A:I, 6, 0)</f>
        <v>NestedFactory.sol FeeSplitter.sol NestedAsset.sol</v>
      </c>
      <c r="F64" s="14" t="s">
        <v>3223</v>
      </c>
      <c r="G64" s="14" t="s">
        <v>3224</v>
      </c>
      <c r="H64" s="14" t="s">
        <v>2005</v>
      </c>
      <c r="I64" s="14"/>
      <c r="J64" s="14" t="s">
        <v>3225</v>
      </c>
    </row>
    <row r="65" customFormat="false" ht="14.5" hidden="false" customHeight="false" outlineLevel="0" collapsed="false">
      <c r="A65" s="14" t="n">
        <v>53</v>
      </c>
      <c r="B65" s="14" t="n">
        <v>2</v>
      </c>
      <c r="C65" s="14" t="n">
        <v>3</v>
      </c>
      <c r="D65" s="14" t="str">
        <f aca="false">VLOOKUP(Table123[[#This Row],[ID]], riskBugs!A:I, 9, 0)</f>
        <v> https://code4rena.com/reports/2021-11-nested#h-01-copy-your-own-portfolio-to-keep-earning-royalties-</v>
      </c>
      <c r="E65" s="14" t="str">
        <f aca="false">VLOOKUP(Table123[[#This Row],[ID]], riskBugs!A:I, 6, 0)</f>
        <v>NestedFactory.sol FeeSplitter.sol NestedAsset.sol</v>
      </c>
      <c r="F65" s="14" t="s">
        <v>3226</v>
      </c>
      <c r="G65" s="14" t="s">
        <v>1835</v>
      </c>
      <c r="H65" s="14" t="s">
        <v>3367</v>
      </c>
      <c r="I65" s="14"/>
      <c r="J65" s="14" t="s">
        <v>3227</v>
      </c>
    </row>
    <row r="66" customFormat="false" ht="14.5" hidden="false" customHeight="false" outlineLevel="0" collapsed="false">
      <c r="A66" s="14" t="n">
        <v>53</v>
      </c>
      <c r="B66" s="14" t="n">
        <v>3</v>
      </c>
      <c r="C66" s="14" t="n">
        <v>5</v>
      </c>
      <c r="D66" s="14" t="str">
        <f aca="false">VLOOKUP(Table123[[#This Row],[ID]], riskBugs!A:I, 9, 0)</f>
        <v> https://code4rena.com/reports/2021-11-nested#h-01-copy-your-own-portfolio-to-keep-earning-royalties-</v>
      </c>
      <c r="E66" s="14" t="str">
        <f aca="false">VLOOKUP(Table123[[#This Row],[ID]], riskBugs!A:I, 6, 0)</f>
        <v>NestedFactory.sol FeeSplitter.sol NestedAsset.sol</v>
      </c>
      <c r="F66" s="14" t="s">
        <v>3229</v>
      </c>
      <c r="G66" s="14" t="s">
        <v>3218</v>
      </c>
      <c r="H66" s="14" t="s">
        <v>2069</v>
      </c>
      <c r="I66" s="14"/>
      <c r="J66" s="14" t="s">
        <v>3230</v>
      </c>
    </row>
    <row r="67" customFormat="false" ht="14.5" hidden="false" customHeight="false" outlineLevel="0" collapsed="false">
      <c r="A67" s="14" t="n">
        <v>53</v>
      </c>
      <c r="B67" s="14" t="n">
        <v>3</v>
      </c>
      <c r="C67" s="14" t="n">
        <v>1</v>
      </c>
      <c r="D67" s="14" t="str">
        <f aca="false">VLOOKUP(Table123[[#This Row],[ID]], riskBugs!A:I, 9, 0)</f>
        <v> https://code4rena.com/reports/2021-11-nested#h-01-copy-your-own-portfolio-to-keep-earning-royalties-</v>
      </c>
      <c r="E67" s="14" t="str">
        <f aca="false">VLOOKUP(Table123[[#This Row],[ID]], riskBugs!A:I, 6, 0)</f>
        <v>NestedFactory.sol FeeSplitter.sol NestedAsset.sol</v>
      </c>
      <c r="F67" s="14" t="s">
        <v>3231</v>
      </c>
      <c r="G67" s="14" t="s">
        <v>3232</v>
      </c>
      <c r="H67" s="14" t="s">
        <v>3368</v>
      </c>
      <c r="I67" s="14"/>
      <c r="J67" s="14" t="s">
        <v>3233</v>
      </c>
    </row>
    <row r="68" customFormat="false" ht="14.5" hidden="false" customHeight="false" outlineLevel="0" collapsed="false">
      <c r="A68" s="14" t="n">
        <v>54</v>
      </c>
      <c r="B68" s="14" t="n">
        <v>2</v>
      </c>
      <c r="C68" s="14" t="n">
        <v>3</v>
      </c>
      <c r="D68" s="14" t="str">
        <f aca="false">VLOOKUP(Table123[[#This Row],[ID]], riskBugs!A:I, 9, 0)</f>
        <v> https://code4rena.com/reports/2021-11-unlock#h-01-mev-miner-can-mint-larger-than-expected-udt-total-supply</v>
      </c>
      <c r="E68" s="14" t="str">
        <f aca="false">VLOOKUP(Table123[[#This Row],[ID]], riskBugs!A:I, 6, 0)</f>
        <v>Unlock.sol</v>
      </c>
      <c r="F68" s="14" t="s">
        <v>3234</v>
      </c>
      <c r="G68" s="14" t="s">
        <v>3346</v>
      </c>
      <c r="H68" s="14" t="s">
        <v>3369</v>
      </c>
      <c r="I68" s="14"/>
      <c r="J68" s="14" t="s">
        <v>3236</v>
      </c>
    </row>
    <row r="69" customFormat="false" ht="14.5" hidden="false" customHeight="false" outlineLevel="0" collapsed="false">
      <c r="A69" s="14" t="n">
        <v>54</v>
      </c>
      <c r="B69" s="14" t="n">
        <v>2</v>
      </c>
      <c r="C69" s="14" t="n">
        <v>4</v>
      </c>
      <c r="D69" s="14" t="str">
        <f aca="false">VLOOKUP(Table123[[#This Row],[ID]], riskBugs!A:I, 9, 0)</f>
        <v> https://code4rena.com/reports/2021-11-unlock#h-01-mev-miner-can-mint-larger-than-expected-udt-total-supply</v>
      </c>
      <c r="E69" s="14" t="str">
        <f aca="false">VLOOKUP(Table123[[#This Row],[ID]], riskBugs!A:I, 6, 0)</f>
        <v>Unlock.sol</v>
      </c>
      <c r="F69" s="14" t="s">
        <v>3237</v>
      </c>
      <c r="G69" s="14" t="s">
        <v>3238</v>
      </c>
      <c r="H69" s="14" t="s">
        <v>2033</v>
      </c>
      <c r="I69" s="14"/>
      <c r="J69" s="14" t="s">
        <v>3239</v>
      </c>
    </row>
    <row r="70" customFormat="false" ht="14.5" hidden="false" customHeight="false" outlineLevel="0" collapsed="false">
      <c r="A70" s="14" t="n">
        <v>59</v>
      </c>
      <c r="B70" s="14" t="n">
        <v>2</v>
      </c>
      <c r="C70" s="14" t="n">
        <v>3</v>
      </c>
      <c r="D70" s="14" t="str">
        <f aca="false">VLOOKUP(Table123[[#This Row],[ID]], riskBugs!A:I, 9, 0)</f>
        <v> https://code4rena.com/reports/2021-11-malt#h-02-unable-to-remove-liquidity-in-recovery-mode</v>
      </c>
      <c r="E70" s="14" t="str">
        <f aca="false">VLOOKUP(Table123[[#This Row],[ID]], riskBugs!A:I, 6, 0)</f>
        <v>UniswapHandler.sol PoolTransferVerification.sol</v>
      </c>
      <c r="F70" s="14" t="s">
        <v>1228</v>
      </c>
      <c r="G70" s="14" t="s">
        <v>3240</v>
      </c>
      <c r="H70" s="14" t="s">
        <v>3370</v>
      </c>
      <c r="I70" s="7" t="s">
        <v>3371</v>
      </c>
      <c r="J70" s="14" t="s">
        <v>3241</v>
      </c>
    </row>
    <row r="71" customFormat="false" ht="14.5" hidden="false" customHeight="false" outlineLevel="0" collapsed="false">
      <c r="A71" s="14" t="n">
        <v>59</v>
      </c>
      <c r="B71" s="14" t="n">
        <v>3</v>
      </c>
      <c r="C71" s="14" t="n">
        <v>1</v>
      </c>
      <c r="D71" s="14" t="str">
        <f aca="false">VLOOKUP(Table123[[#This Row],[ID]], riskBugs!A:I, 9, 0)</f>
        <v> https://code4rena.com/reports/2021-11-malt#h-02-unable-to-remove-liquidity-in-recovery-mode</v>
      </c>
      <c r="E71" s="14" t="str">
        <f aca="false">VLOOKUP(Table123[[#This Row],[ID]], riskBugs!A:I, 6, 0)</f>
        <v>UniswapHandler.sol PoolTransferVerification.sol</v>
      </c>
      <c r="F71" s="14" t="s">
        <v>3242</v>
      </c>
      <c r="G71" s="14" t="s">
        <v>3243</v>
      </c>
      <c r="H71" s="14" t="s">
        <v>2033</v>
      </c>
      <c r="I71" s="14"/>
      <c r="J71" s="14" t="s">
        <v>3244</v>
      </c>
    </row>
    <row r="72" customFormat="false" ht="14.5" hidden="false" customHeight="false" outlineLevel="0" collapsed="false">
      <c r="A72" s="14" t="n">
        <v>59</v>
      </c>
      <c r="B72" s="14" t="n">
        <v>3</v>
      </c>
      <c r="C72" s="14" t="n">
        <v>2</v>
      </c>
      <c r="D72" s="14" t="str">
        <f aca="false">VLOOKUP(Table123[[#This Row],[ID]], riskBugs!A:I, 9, 0)</f>
        <v> https://code4rena.com/reports/2021-11-malt#h-02-unable-to-remove-liquidity-in-recovery-mode</v>
      </c>
      <c r="E72" s="14" t="str">
        <f aca="false">VLOOKUP(Table123[[#This Row],[ID]], riskBugs!A:I, 6, 0)</f>
        <v>UniswapHandler.sol PoolTransferVerification.sol</v>
      </c>
      <c r="F72" s="14" t="s">
        <v>3245</v>
      </c>
      <c r="G72" s="14" t="s">
        <v>3243</v>
      </c>
      <c r="H72" s="14" t="s">
        <v>2033</v>
      </c>
      <c r="I72" s="14"/>
      <c r="J72" s="14" t="s">
        <v>3246</v>
      </c>
    </row>
    <row r="73" customFormat="false" ht="14.5" hidden="false" customHeight="false" outlineLevel="0" collapsed="false">
      <c r="A73" s="14" t="n">
        <v>60</v>
      </c>
      <c r="B73" s="14" t="n">
        <v>3</v>
      </c>
      <c r="C73" s="14" t="n">
        <v>2</v>
      </c>
      <c r="D73" s="14" t="str">
        <f aca="false">VLOOKUP(Table123[[#This Row],[ID]], riskBugs!A:I, 9, 0)</f>
        <v> https://code4rena.com/reports/2021-12-perennial#h-01-wrong-shortfall-calculation</v>
      </c>
      <c r="E73" s="14" t="str">
        <f aca="false">VLOOKUP(Table123[[#This Row],[ID]], riskBugs!A:I, 6, 0)</f>
        <v>OptimisticLedger.sol</v>
      </c>
      <c r="F73" s="14" t="s">
        <v>3247</v>
      </c>
      <c r="G73" s="14" t="s">
        <v>3248</v>
      </c>
      <c r="H73" s="14" t="s">
        <v>2033</v>
      </c>
      <c r="I73" s="14"/>
      <c r="J73" s="14" t="s">
        <v>3249</v>
      </c>
    </row>
    <row r="74" customFormat="false" ht="14.5" hidden="false" customHeight="false" outlineLevel="0" collapsed="false">
      <c r="A74" s="14" t="n">
        <v>60</v>
      </c>
      <c r="B74" s="14" t="n">
        <v>3</v>
      </c>
      <c r="C74" s="14" t="n">
        <v>4</v>
      </c>
      <c r="D74" s="14" t="str">
        <f aca="false">VLOOKUP(Table123[[#This Row],[ID]], riskBugs!A:I, 9, 0)</f>
        <v> https://code4rena.com/reports/2021-12-perennial#h-01-wrong-shortfall-calculation</v>
      </c>
      <c r="E74" s="14" t="str">
        <f aca="false">VLOOKUP(Table123[[#This Row],[ID]], riskBugs!A:I, 6, 0)</f>
        <v>OptimisticLedger.sol</v>
      </c>
      <c r="F74" s="14" t="s">
        <v>3247</v>
      </c>
      <c r="G74" s="14" t="s">
        <v>3250</v>
      </c>
      <c r="H74" s="14" t="s">
        <v>3360</v>
      </c>
      <c r="I74" s="14"/>
      <c r="J74" s="14" t="s">
        <v>3251</v>
      </c>
    </row>
    <row r="75" customFormat="false" ht="14.5" hidden="false" customHeight="false" outlineLevel="0" collapsed="false">
      <c r="A75" s="14" t="n">
        <v>61</v>
      </c>
      <c r="B75" s="14" t="n">
        <v>3</v>
      </c>
      <c r="C75" s="14" t="n">
        <v>2</v>
      </c>
      <c r="D75" s="14" t="str">
        <f aca="false">VLOOKUP(Table123[[#This Row],[ID]], riskBugs!A:I, 9, 0)</f>
        <v> https://code4rena.com/reports/2021-12-sublime#h-01-in-creditline_borrowtokenstoliquidate-oracle-is-used-wrong-way</v>
      </c>
      <c r="E75" s="14" t="str">
        <f aca="false">VLOOKUP(Table123[[#This Row],[ID]], riskBugs!A:I, 6, 0)</f>
        <v>CreditLine.sol</v>
      </c>
      <c r="F75" s="14" t="s">
        <v>3252</v>
      </c>
      <c r="G75" s="14" t="s">
        <v>3218</v>
      </c>
      <c r="H75" s="14" t="s">
        <v>2005</v>
      </c>
      <c r="I75" s="14"/>
      <c r="J75" s="14" t="s">
        <v>3253</v>
      </c>
    </row>
    <row r="76" customFormat="false" ht="14.5" hidden="false" customHeight="false" outlineLevel="0" collapsed="false">
      <c r="A76" s="14" t="n">
        <v>69</v>
      </c>
      <c r="B76" s="14" t="n">
        <v>3</v>
      </c>
      <c r="C76" s="14" t="n">
        <v>2</v>
      </c>
      <c r="D76" s="14" t="str">
        <f aca="false">VLOOKUP(Table123[[#This Row],[ID]], riskBugs!A:I, 9, 0)</f>
        <v> https://code4rena.com/reports/2021-12-nftx#h-03-a-vault-can-be-locked-from-marketplacezap-and-stakingzap</v>
      </c>
      <c r="E76" s="14" t="str">
        <f aca="false">VLOOKUP(Table123[[#This Row],[ID]], riskBugs!A:I, 6, 0)</f>
        <v>NFTXMarketplaceZap.sol NFTXStakingZap.sol</v>
      </c>
      <c r="F76" s="14" t="s">
        <v>3255</v>
      </c>
      <c r="G76" s="14" t="s">
        <v>3256</v>
      </c>
      <c r="H76" s="14" t="s">
        <v>2063</v>
      </c>
      <c r="I76" s="14"/>
      <c r="J76" s="14" t="s">
        <v>3257</v>
      </c>
    </row>
    <row r="77" customFormat="false" ht="14.5" hidden="false" customHeight="false" outlineLevel="0" collapsed="false">
      <c r="A77" s="14" t="n">
        <v>69</v>
      </c>
      <c r="B77" s="14" t="n">
        <v>3</v>
      </c>
      <c r="C77" s="14" t="n">
        <v>3</v>
      </c>
      <c r="D77" s="14" t="str">
        <f aca="false">VLOOKUP(Table123[[#This Row],[ID]], riskBugs!A:I, 9, 0)</f>
        <v> https://code4rena.com/reports/2021-12-nftx#h-03-a-vault-can-be-locked-from-marketplacezap-and-stakingzap</v>
      </c>
      <c r="E77" s="14" t="str">
        <f aca="false">VLOOKUP(Table123[[#This Row],[ID]], riskBugs!A:I, 6, 0)</f>
        <v>NFTXMarketplaceZap.sol NFTXStakingZap.sol</v>
      </c>
      <c r="F77" s="14" t="s">
        <v>3258</v>
      </c>
      <c r="G77" s="14" t="s">
        <v>3088</v>
      </c>
      <c r="H77" s="14" t="s">
        <v>2063</v>
      </c>
      <c r="I77" s="14"/>
      <c r="J77" s="14" t="s">
        <v>3259</v>
      </c>
    </row>
    <row r="78" customFormat="false" ht="14.5" hidden="false" customHeight="false" outlineLevel="0" collapsed="false">
      <c r="A78" s="14" t="n">
        <v>70</v>
      </c>
      <c r="B78" s="14" t="n">
        <v>1</v>
      </c>
      <c r="C78" s="14" t="n">
        <v>1</v>
      </c>
      <c r="D78" s="14" t="str">
        <f aca="false">VLOOKUP(Table123[[#This Row],[ID]], riskBugs!A:I, 9, 0)</f>
        <v> https://code4rena.com/reports/2021-12-vader#h-01-vaderpoolv2-minting-synths--fungibles-can-be-frontrun</v>
      </c>
      <c r="E78" s="14" t="str">
        <f aca="false">VLOOKUP(Table123[[#This Row],[ID]], riskBugs!A:I, 6, 0)</f>
        <v>VaderPoolV2.sol</v>
      </c>
      <c r="F78" s="14" t="s">
        <v>1789</v>
      </c>
      <c r="G78" s="14" t="s">
        <v>3260</v>
      </c>
      <c r="H78" s="14" t="s">
        <v>2005</v>
      </c>
      <c r="I78" s="14"/>
      <c r="J78" s="14" t="s">
        <v>3261</v>
      </c>
    </row>
    <row r="79" customFormat="false" ht="14.5" hidden="false" customHeight="false" outlineLevel="0" collapsed="false">
      <c r="A79" s="14" t="n">
        <v>70</v>
      </c>
      <c r="B79" s="14" t="n">
        <v>2</v>
      </c>
      <c r="C79" s="14" t="n">
        <v>3</v>
      </c>
      <c r="D79" s="14" t="str">
        <f aca="false">VLOOKUP(Table123[[#This Row],[ID]], riskBugs!A:I, 9, 0)</f>
        <v> https://code4rena.com/reports/2021-12-vader#h-01-vaderpoolv2-minting-synths--fungibles-can-be-frontrun</v>
      </c>
      <c r="E79" s="14" t="str">
        <f aca="false">VLOOKUP(Table123[[#This Row],[ID]], riskBugs!A:I, 6, 0)</f>
        <v>VaderPoolV2.sol</v>
      </c>
      <c r="F79" s="14" t="s">
        <v>3262</v>
      </c>
      <c r="G79" s="14" t="s">
        <v>3099</v>
      </c>
      <c r="H79" s="14" t="s">
        <v>3372</v>
      </c>
      <c r="I79" s="14"/>
      <c r="J79" s="14" t="s">
        <v>3264</v>
      </c>
    </row>
    <row r="80" customFormat="false" ht="14.5" hidden="false" customHeight="false" outlineLevel="0" collapsed="false">
      <c r="A80" s="14" t="n">
        <v>70</v>
      </c>
      <c r="B80" s="14" t="n">
        <v>2</v>
      </c>
      <c r="C80" s="14" t="n">
        <v>4</v>
      </c>
      <c r="D80" s="14" t="str">
        <f aca="false">VLOOKUP(Table123[[#This Row],[ID]], riskBugs!A:I, 9, 0)</f>
        <v> https://code4rena.com/reports/2021-12-vader#h-01-vaderpoolv2-minting-synths--fungibles-can-be-frontrun</v>
      </c>
      <c r="E80" s="14" t="str">
        <f aca="false">VLOOKUP(Table123[[#This Row],[ID]], riskBugs!A:I, 6, 0)</f>
        <v>VaderPoolV2.sol</v>
      </c>
      <c r="F80" s="14" t="s">
        <v>1786</v>
      </c>
      <c r="G80" s="14" t="s">
        <v>3265</v>
      </c>
      <c r="H80" s="14" t="s">
        <v>3042</v>
      </c>
      <c r="I80" s="14"/>
      <c r="J80" s="14" t="s">
        <v>3266</v>
      </c>
    </row>
    <row r="81" customFormat="false" ht="14.5" hidden="false" customHeight="false" outlineLevel="0" collapsed="false">
      <c r="A81" s="14" t="n">
        <v>70</v>
      </c>
      <c r="B81" s="14" t="n">
        <v>3</v>
      </c>
      <c r="C81" s="14" t="n">
        <v>6</v>
      </c>
      <c r="D81" s="14" t="str">
        <f aca="false">VLOOKUP(Table123[[#This Row],[ID]], riskBugs!A:I, 9, 0)</f>
        <v> https://code4rena.com/reports/2021-12-vader#h-01-vaderpoolv2-minting-synths--fungibles-can-be-frontrun</v>
      </c>
      <c r="E81" s="1" t="s">
        <v>458</v>
      </c>
      <c r="F81" s="14" t="s">
        <v>1489</v>
      </c>
      <c r="G81" s="14" t="s">
        <v>3267</v>
      </c>
      <c r="H81" s="14" t="s">
        <v>2033</v>
      </c>
      <c r="I81" s="14"/>
      <c r="J81" s="14" t="s">
        <v>3268</v>
      </c>
    </row>
    <row r="82" customFormat="false" ht="14.5" hidden="false" customHeight="false" outlineLevel="0" collapsed="false">
      <c r="A82" s="14" t="n">
        <v>70</v>
      </c>
      <c r="B82" s="14" t="n">
        <v>3</v>
      </c>
      <c r="C82" s="14" t="n">
        <v>1</v>
      </c>
      <c r="D82" s="14" t="str">
        <f aca="false">VLOOKUP(Table123[[#This Row],[ID]], riskBugs!A:I, 9, 0)</f>
        <v> https://code4rena.com/reports/2021-12-vader#h-01-vaderpoolv2-minting-synths--fungibles-can-be-frontrun</v>
      </c>
      <c r="E82" s="14" t="str">
        <f aca="false">VLOOKUP(Table123[[#This Row],[ID]], riskBugs!A:I, 6, 0)</f>
        <v>VaderPoolV2.sol</v>
      </c>
      <c r="F82" s="14" t="s">
        <v>1592</v>
      </c>
      <c r="G82" s="14" t="s">
        <v>3269</v>
      </c>
      <c r="H82" s="14" t="s">
        <v>2008</v>
      </c>
      <c r="I82" s="14"/>
      <c r="J82" s="14" t="s">
        <v>3270</v>
      </c>
    </row>
    <row r="83" customFormat="false" ht="14.5" hidden="false" customHeight="false" outlineLevel="0" collapsed="false">
      <c r="A83" s="14" t="n">
        <v>78</v>
      </c>
      <c r="B83" s="14" t="n">
        <v>1</v>
      </c>
      <c r="C83" s="14" t="n">
        <v>1</v>
      </c>
      <c r="D83" s="14" t="str">
        <f aca="false">VLOOKUP(Table123[[#This Row],[ID]], riskBugs!A:I, 9, 0)</f>
        <v> https://code4rena.com/reports/2022-01-behodler#h-01-lack-of-access-control-on-assertgovernanceapproved-can-cause-funds-to-be-locked</v>
      </c>
      <c r="E83" s="14" t="str">
        <f aca="false">VLOOKUP(Table123[[#This Row],[ID]], riskBugs!A:I, 6, 0)</f>
        <v>FlashGovernanceArbiter.sol</v>
      </c>
      <c r="F83" s="14" t="s">
        <v>2136</v>
      </c>
      <c r="G83" s="14" t="s">
        <v>3271</v>
      </c>
      <c r="H83" s="14" t="s">
        <v>1126</v>
      </c>
      <c r="I83" s="7" t="s">
        <v>3373</v>
      </c>
      <c r="J83" s="14" t="s">
        <v>3272</v>
      </c>
    </row>
    <row r="84" customFormat="false" ht="14.5" hidden="false" customHeight="false" outlineLevel="0" collapsed="false">
      <c r="A84" s="14" t="n">
        <v>83</v>
      </c>
      <c r="B84" s="14" t="n">
        <v>1</v>
      </c>
      <c r="C84" s="14" t="n">
        <v>4</v>
      </c>
      <c r="D84" s="14" t="str">
        <f aca="false">VLOOKUP(Table123[[#This Row],[ID]], riskBugs!A:I, 9, 0)</f>
        <v> https://code4rena.com/reports/2022-02-concur#h-01-wrong-reward-token-calculation-in-masterchef-contract</v>
      </c>
      <c r="E84" s="14" t="str">
        <f aca="false">VLOOKUP(Table123[[#This Row],[ID]], riskBugs!A:I, 6, 0)</f>
        <v>MasterChef.sol</v>
      </c>
      <c r="F84" s="14" t="s">
        <v>1489</v>
      </c>
      <c r="G84" s="14" t="s">
        <v>3277</v>
      </c>
      <c r="H84" s="14" t="s">
        <v>2033</v>
      </c>
      <c r="I84" s="14"/>
      <c r="J84" s="14" t="s">
        <v>3278</v>
      </c>
    </row>
    <row r="85" customFormat="false" ht="14.5" hidden="false" customHeight="false" outlineLevel="0" collapsed="false">
      <c r="A85" s="14" t="n">
        <v>83</v>
      </c>
      <c r="B85" s="14" t="n">
        <v>1</v>
      </c>
      <c r="C85" s="14" t="n">
        <v>5</v>
      </c>
      <c r="D85" s="14" t="str">
        <f aca="false">VLOOKUP(Table123[[#This Row],[ID]], riskBugs!A:I, 9, 0)</f>
        <v> https://code4rena.com/reports/2022-02-concur#h-01-wrong-reward-token-calculation-in-masterchef-contract</v>
      </c>
      <c r="E85" s="14" t="str">
        <f aca="false">VLOOKUP(Table123[[#This Row],[ID]], riskBugs!A:I, 6, 0)</f>
        <v>MasterChef.sol</v>
      </c>
      <c r="F85" s="14" t="s">
        <v>1179</v>
      </c>
      <c r="G85" s="14" t="s">
        <v>1515</v>
      </c>
      <c r="H85" s="14" t="s">
        <v>2005</v>
      </c>
      <c r="I85" s="14"/>
      <c r="J85" s="14" t="s">
        <v>3279</v>
      </c>
    </row>
    <row r="86" customFormat="false" ht="14.5" hidden="false" customHeight="false" outlineLevel="0" collapsed="false">
      <c r="A86" s="14" t="n">
        <v>83</v>
      </c>
      <c r="B86" s="14" t="n">
        <v>2</v>
      </c>
      <c r="C86" s="14" t="n">
        <v>1</v>
      </c>
      <c r="D86" s="14" t="str">
        <f aca="false">VLOOKUP(Table123[[#This Row],[ID]], riskBugs!A:I, 9, 0)</f>
        <v> https://code4rena.com/reports/2022-02-concur#h-01-wrong-reward-token-calculation-in-masterchef-contract</v>
      </c>
      <c r="E86" s="14" t="str">
        <f aca="false">VLOOKUP(Table123[[#This Row],[ID]], riskBugs!A:I, 6, 0)</f>
        <v>MasterChef.sol</v>
      </c>
      <c r="F86" s="14" t="s">
        <v>1105</v>
      </c>
      <c r="G86" s="14" t="s">
        <v>3280</v>
      </c>
      <c r="H86" s="14" t="s">
        <v>2033</v>
      </c>
      <c r="I86" s="14"/>
      <c r="J86" s="14" t="s">
        <v>3281</v>
      </c>
    </row>
    <row r="87" customFormat="false" ht="14.5" hidden="false" customHeight="false" outlineLevel="0" collapsed="false">
      <c r="A87" s="14" t="n">
        <v>83</v>
      </c>
      <c r="B87" s="14" t="n">
        <v>2</v>
      </c>
      <c r="C87" s="14" t="n">
        <v>2</v>
      </c>
      <c r="D87" s="14" t="str">
        <f aca="false">VLOOKUP(Table123[[#This Row],[ID]], riskBugs!A:I, 9, 0)</f>
        <v> https://code4rena.com/reports/2022-02-concur#h-01-wrong-reward-token-calculation-in-masterchef-contract</v>
      </c>
      <c r="E87" s="14" t="str">
        <f aca="false">VLOOKUP(Table123[[#This Row],[ID]], riskBugs!A:I, 6, 0)</f>
        <v>MasterChef.sol</v>
      </c>
      <c r="F87" s="14" t="s">
        <v>1107</v>
      </c>
      <c r="G87" s="14" t="s">
        <v>3282</v>
      </c>
      <c r="H87" s="14" t="s">
        <v>2033</v>
      </c>
      <c r="I87" s="14"/>
      <c r="J87" s="14" t="s">
        <v>3283</v>
      </c>
    </row>
    <row r="88" customFormat="false" ht="14.5" hidden="false" customHeight="false" outlineLevel="0" collapsed="false">
      <c r="A88" s="14" t="n">
        <v>83</v>
      </c>
      <c r="B88" s="14" t="n">
        <v>3</v>
      </c>
      <c r="C88" s="14" t="n">
        <v>1</v>
      </c>
      <c r="D88" s="14" t="str">
        <f aca="false">VLOOKUP(Table123[[#This Row],[ID]], riskBugs!A:I, 9, 0)</f>
        <v> https://code4rena.com/reports/2022-02-concur#h-01-wrong-reward-token-calculation-in-masterchef-contract</v>
      </c>
      <c r="E88" s="14" t="str">
        <f aca="false">VLOOKUP(Table123[[#This Row],[ID]], riskBugs!A:I, 6, 0)</f>
        <v>MasterChef.sol</v>
      </c>
      <c r="F88" s="14" t="s">
        <v>3284</v>
      </c>
      <c r="G88" s="14" t="s">
        <v>3285</v>
      </c>
      <c r="H88" s="14" t="s">
        <v>2030</v>
      </c>
      <c r="I88" s="14"/>
      <c r="J88" s="14" t="s">
        <v>3286</v>
      </c>
    </row>
    <row r="89" customFormat="false" ht="14.5" hidden="false" customHeight="false" outlineLevel="0" collapsed="false">
      <c r="A89" s="14" t="n">
        <v>83</v>
      </c>
      <c r="B89" s="14" t="n">
        <v>3</v>
      </c>
      <c r="C89" s="14" t="n">
        <v>4</v>
      </c>
      <c r="D89" s="14" t="str">
        <f aca="false">VLOOKUP(Table123[[#This Row],[ID]], riskBugs!A:I, 9, 0)</f>
        <v> https://code4rena.com/reports/2022-02-concur#h-01-wrong-reward-token-calculation-in-masterchef-contract</v>
      </c>
      <c r="E89" s="14" t="str">
        <f aca="false">VLOOKUP(Table123[[#This Row],[ID]], riskBugs!A:I, 6, 0)</f>
        <v>MasterChef.sol</v>
      </c>
      <c r="F89" s="14" t="s">
        <v>2237</v>
      </c>
      <c r="G89" s="14" t="s">
        <v>3287</v>
      </c>
      <c r="H89" s="14" t="s">
        <v>2005</v>
      </c>
      <c r="I89" s="14"/>
      <c r="J89" s="14" t="s">
        <v>3288</v>
      </c>
    </row>
    <row r="90" customFormat="false" ht="14.5" hidden="false" customHeight="false" outlineLevel="0" collapsed="false">
      <c r="A90" s="14" t="n">
        <v>97</v>
      </c>
      <c r="B90" s="14" t="n">
        <v>1</v>
      </c>
      <c r="C90" s="14" t="n">
        <v>3</v>
      </c>
      <c r="D90" s="14" t="str">
        <f aca="false">VLOOKUP(Table123[[#This Row],[ID]], riskBugs!A:I, 9, 0)</f>
        <v> https://code4rena.com/reports/2022-03-biconomy#h-01-can-deposit-native-token-for-free-and-steal-funds</v>
      </c>
      <c r="E90" s="14" t="str">
        <f aca="false">VLOOKUP(Table123[[#This Row],[ID]], riskBugs!A:I, 6, 0)</f>
        <v>LiquidityPool.sol</v>
      </c>
      <c r="F90" s="14" t="s">
        <v>3289</v>
      </c>
      <c r="G90" s="14" t="s">
        <v>3290</v>
      </c>
      <c r="H90" s="14" t="s">
        <v>2005</v>
      </c>
      <c r="I90" s="14"/>
      <c r="J90" s="14" t="s">
        <v>3291</v>
      </c>
    </row>
    <row r="91" customFormat="false" ht="14.5" hidden="false" customHeight="false" outlineLevel="0" collapsed="false">
      <c r="A91" s="14" t="n">
        <v>97</v>
      </c>
      <c r="B91" s="14" t="n">
        <v>1</v>
      </c>
      <c r="C91" s="14" t="n">
        <v>4</v>
      </c>
      <c r="D91" s="14" t="str">
        <f aca="false">VLOOKUP(Table123[[#This Row],[ID]], riskBugs!A:I, 9, 0)</f>
        <v> https://code4rena.com/reports/2022-03-biconomy#h-01-can-deposit-native-token-for-free-and-steal-funds</v>
      </c>
      <c r="E91" s="14" t="str">
        <f aca="false">VLOOKUP(Table123[[#This Row],[ID]], riskBugs!A:I, 6, 0)</f>
        <v>LiquidityPool.sol</v>
      </c>
      <c r="F91" s="14" t="s">
        <v>1107</v>
      </c>
      <c r="G91" s="14" t="s">
        <v>3088</v>
      </c>
      <c r="H91" s="14" t="s">
        <v>2005</v>
      </c>
      <c r="I91" s="14"/>
      <c r="J91" s="14" t="s">
        <v>3292</v>
      </c>
    </row>
    <row r="92" customFormat="false" ht="14.5" hidden="false" customHeight="false" outlineLevel="0" collapsed="false">
      <c r="A92" s="14" t="n">
        <v>97</v>
      </c>
      <c r="B92" s="14" t="n">
        <v>3</v>
      </c>
      <c r="C92" s="14" t="n">
        <v>1</v>
      </c>
      <c r="D92" s="14" t="str">
        <f aca="false">VLOOKUP(Table123[[#This Row],[ID]], riskBugs!A:I, 9, 0)</f>
        <v> https://code4rena.com/reports/2022-03-biconomy#h-01-can-deposit-native-token-for-free-and-steal-funds</v>
      </c>
      <c r="E92" s="14" t="str">
        <f aca="false">VLOOKUP(Table123[[#This Row],[ID]], riskBugs!A:I, 6, 0)</f>
        <v>LiquidityPool.sol</v>
      </c>
      <c r="F92" s="14" t="s">
        <v>1105</v>
      </c>
      <c r="G92" s="14" t="s">
        <v>3293</v>
      </c>
      <c r="H92" s="14" t="s">
        <v>2033</v>
      </c>
      <c r="I92" s="14"/>
      <c r="J92" s="14" t="s">
        <v>3294</v>
      </c>
    </row>
    <row r="93" customFormat="false" ht="14.5" hidden="false" customHeight="false" outlineLevel="0" collapsed="false">
      <c r="A93" s="14" t="n">
        <v>97</v>
      </c>
      <c r="B93" s="14" t="n">
        <v>3</v>
      </c>
      <c r="C93" s="14" t="n">
        <v>3</v>
      </c>
      <c r="D93" s="14" t="str">
        <f aca="false">VLOOKUP(Table123[[#This Row],[ID]], riskBugs!A:I, 9, 0)</f>
        <v> https://code4rena.com/reports/2022-03-biconomy#h-01-can-deposit-native-token-for-free-and-steal-funds</v>
      </c>
      <c r="E93" s="14" t="str">
        <f aca="false">VLOOKUP(Table123[[#This Row],[ID]], riskBugs!A:I, 6, 0)</f>
        <v>LiquidityPool.sol</v>
      </c>
      <c r="F93" s="14" t="s">
        <v>1107</v>
      </c>
      <c r="G93" s="14" t="s">
        <v>3088</v>
      </c>
      <c r="H93" s="14" t="s">
        <v>2005</v>
      </c>
      <c r="I93" s="14"/>
      <c r="J93" s="14" t="s">
        <v>3296</v>
      </c>
    </row>
    <row r="94" customFormat="false" ht="14.5" hidden="false" customHeight="false" outlineLevel="0" collapsed="false">
      <c r="A94" s="14" t="n">
        <v>97</v>
      </c>
      <c r="B94" s="14" t="n">
        <v>3</v>
      </c>
      <c r="C94" s="14" t="n">
        <v>5</v>
      </c>
      <c r="D94" s="14" t="str">
        <f aca="false">VLOOKUP(Table123[[#This Row],[ID]], riskBugs!A:I, 9, 0)</f>
        <v> https://code4rena.com/reports/2022-03-biconomy#h-01-can-deposit-native-token-for-free-and-steal-funds</v>
      </c>
      <c r="E94" s="14" t="str">
        <f aca="false">VLOOKUP(Table123[[#This Row],[ID]], riskBugs!A:I, 6, 0)</f>
        <v>LiquidityPool.sol</v>
      </c>
      <c r="F94" s="14" t="s">
        <v>3297</v>
      </c>
      <c r="G94" s="14" t="s">
        <v>3298</v>
      </c>
      <c r="H94" s="14" t="s">
        <v>3368</v>
      </c>
      <c r="I94" s="14"/>
      <c r="J94" s="14" t="s">
        <v>3299</v>
      </c>
    </row>
    <row r="95" customFormat="false" ht="14.5" hidden="false" customHeight="false" outlineLevel="0" collapsed="false">
      <c r="A95" s="14" t="n">
        <v>98</v>
      </c>
      <c r="B95" s="14" t="n">
        <v>1</v>
      </c>
      <c r="C95" s="14" t="n">
        <v>3</v>
      </c>
      <c r="D95" s="14" t="str">
        <f aca="false">VLOOKUP(Table123[[#This Row],[ID]], riskBugs!A:I, 9, 0)</f>
        <v> https://code4rena.com/reports/2022-03-rolla#h-01-incorrect-strike-price-displayed-in-namesymbol-of-qtoken-</v>
      </c>
      <c r="E95" s="14" t="str">
        <f aca="false">VLOOKUP(Table123[[#This Row],[ID]], riskBugs!A:I, 6, 0)</f>
        <v>QTokenStringUtils.sol</v>
      </c>
      <c r="F95" s="14" t="s">
        <v>3301</v>
      </c>
      <c r="G95" s="14" t="s">
        <v>3302</v>
      </c>
      <c r="H95" s="14" t="s">
        <v>2005</v>
      </c>
      <c r="I95" s="14"/>
      <c r="J95" s="14" t="s">
        <v>3303</v>
      </c>
    </row>
    <row r="96" customFormat="false" ht="14.5" hidden="false" customHeight="false" outlineLevel="0" collapsed="false">
      <c r="A96" s="14" t="n">
        <v>103</v>
      </c>
      <c r="B96" s="14" t="n">
        <v>2</v>
      </c>
      <c r="C96" s="14" t="n">
        <v>2</v>
      </c>
      <c r="D96" s="14" t="str">
        <f aca="false">VLOOKUP(Table123[[#This Row],[ID]], riskBugs!A:I, 9, 0)</f>
        <v> https://code4rena.com/reports/2022-03-lifinance#h-01-reliance-on-lifidatareceivingassetid-can-cause-loss-of-funds</v>
      </c>
      <c r="E96" s="14" t="str">
        <f aca="false">VLOOKUP(Table123[[#This Row],[ID]], riskBugs!A:I, 6, 0)</f>
        <v>GenericSwapFacet.sol NXTPFacet.sol CBridgeFacet.sol HopFacet.sol AnyswapFacet.sol</v>
      </c>
      <c r="F96" s="14" t="s">
        <v>970</v>
      </c>
      <c r="G96" s="14" t="s">
        <v>3306</v>
      </c>
      <c r="H96" s="14" t="s">
        <v>2005</v>
      </c>
      <c r="I96" s="14"/>
      <c r="J96" s="14" t="s">
        <v>3307</v>
      </c>
    </row>
    <row r="97" customFormat="false" ht="14.5" hidden="false" customHeight="false" outlineLevel="0" collapsed="false">
      <c r="A97" s="14" t="n">
        <v>113</v>
      </c>
      <c r="B97" s="14" t="n">
        <v>1</v>
      </c>
      <c r="C97" s="14" t="n">
        <v>5</v>
      </c>
      <c r="D97" s="14" t="str">
        <f aca="false">VLOOKUP(Table123[[#This Row],[ID]], riskBugs!A:I, 9, 0)</f>
        <v> https://code4rena.com/reports/2022-04-abranft#h-01-avoidance-of-liquidation-via-malicious-oracle</v>
      </c>
      <c r="E97" s="14" t="str">
        <f aca="false">VLOOKUP(Table123[[#This Row],[ID]], riskBugs!A:I, 6, 0)</f>
        <v>NFTPair.sol NFTPairWithOracle.sol</v>
      </c>
      <c r="F97" s="14" t="s">
        <v>3309</v>
      </c>
      <c r="G97" s="14" t="s">
        <v>3346</v>
      </c>
      <c r="H97" s="14" t="s">
        <v>2005</v>
      </c>
      <c r="I97" s="14"/>
      <c r="J97" s="14" t="s">
        <v>3311</v>
      </c>
    </row>
    <row r="98" customFormat="false" ht="14.5" hidden="false" customHeight="false" outlineLevel="0" collapsed="false">
      <c r="A98" s="14" t="n">
        <v>113</v>
      </c>
      <c r="B98" s="14" t="n">
        <v>1</v>
      </c>
      <c r="C98" s="14" t="n">
        <v>6</v>
      </c>
      <c r="D98" s="14" t="str">
        <f aca="false">VLOOKUP(Table123[[#This Row],[ID]], riskBugs!A:I, 9, 0)</f>
        <v> https://code4rena.com/reports/2022-04-abranft#h-01-avoidance-of-liquidation-via-malicious-oracle</v>
      </c>
      <c r="E98" s="14" t="str">
        <f aca="false">VLOOKUP(Table123[[#This Row],[ID]], riskBugs!A:I, 6, 0)</f>
        <v>NFTPair.sol NFTPairWithOracle.sol</v>
      </c>
      <c r="F98" s="14" t="s">
        <v>1179</v>
      </c>
      <c r="G98" s="14" t="s">
        <v>3312</v>
      </c>
      <c r="H98" s="14" t="s">
        <v>2005</v>
      </c>
      <c r="I98" s="14"/>
      <c r="J98" s="14" t="s">
        <v>3313</v>
      </c>
    </row>
    <row r="99" customFormat="false" ht="14.5" hidden="false" customHeight="false" outlineLevel="0" collapsed="false">
      <c r="A99" s="14" t="n">
        <v>115</v>
      </c>
      <c r="B99" s="14" t="n">
        <v>2</v>
      </c>
      <c r="C99" s="14" t="n">
        <v>3</v>
      </c>
      <c r="D99" s="14" t="str">
        <f aca="false">VLOOKUP(Table123[[#This Row],[ID]], riskBugs!A:I, 9, 0)</f>
        <v> https://code4rena.com/reports/2022-04-mimo#h-02-fund-loss-or-theft-by-attacker-with-creating-a-flash-loan-and-setting-supervault-as-receiver-so-executeoperation-will-be-get-called-by-lendingpool-but-with-attackers-specified-params</v>
      </c>
      <c r="E99" s="14" t="str">
        <f aca="false">VLOOKUP(Table123[[#This Row],[ID]], riskBugs!A:I, 6, 0)</f>
        <v>SuperVault.sol</v>
      </c>
      <c r="F99" s="14" t="s">
        <v>3315</v>
      </c>
      <c r="G99" s="14" t="s">
        <v>3099</v>
      </c>
      <c r="H99" s="14" t="s">
        <v>2008</v>
      </c>
      <c r="I99" s="14"/>
      <c r="J99" s="14" t="s">
        <v>3316</v>
      </c>
    </row>
    <row r="100" customFormat="false" ht="14.5" hidden="false" customHeight="false" outlineLevel="0" collapsed="false">
      <c r="A100" s="14" t="n">
        <v>122</v>
      </c>
      <c r="B100" s="14" t="n">
        <v>2</v>
      </c>
      <c r="C100" s="14" t="n">
        <v>2</v>
      </c>
      <c r="D100" s="14" t="str">
        <f aca="false">VLOOKUP(Table123[[#This Row],[ID]], riskBugs!A:I, 9, 0)</f>
        <v> https://code4rena.com/reports/2022-05-cally#h-02-inefficiency-in-the-dutch-auction-due-to-lower-duration</v>
      </c>
      <c r="E100" s="14" t="str">
        <f aca="false">VLOOKUP(Table123[[#This Row],[ID]], riskBugs!A:I, 6, 0)</f>
        <v>Cally.sol</v>
      </c>
      <c r="F100" s="14" t="s">
        <v>3318</v>
      </c>
      <c r="G100" s="14" t="s">
        <v>3319</v>
      </c>
      <c r="H100" s="14" t="s">
        <v>2038</v>
      </c>
      <c r="I100" s="14"/>
      <c r="J100" s="14" t="s">
        <v>3320</v>
      </c>
    </row>
    <row r="101" customFormat="false" ht="14.5" hidden="false" customHeight="false" outlineLevel="0" collapsed="false">
      <c r="A101" s="14" t="n">
        <v>131</v>
      </c>
      <c r="B101" s="14" t="n">
        <v>1</v>
      </c>
      <c r="C101" s="14" t="n">
        <v>1</v>
      </c>
      <c r="D101" s="14" t="str">
        <f aca="false">VLOOKUP(Table123[[#This Row],[ID]], riskBugs!A:I, 9, 0)</f>
        <v> https://code4rena.com/reports/2022-05-backd#h-02-total-supply-is-not-guaranteed-and-is-not-deterministic</v>
      </c>
      <c r="E101" s="14" t="str">
        <f aca="false">VLOOKUP(Table123[[#This Row],[ID]], riskBugs!A:I, 6, 0)</f>
        <v>Minter.sol</v>
      </c>
      <c r="F101" s="14" t="s">
        <v>3335</v>
      </c>
      <c r="G101" s="14" t="s">
        <v>3323</v>
      </c>
      <c r="H101" s="14" t="s">
        <v>2005</v>
      </c>
      <c r="I101" s="14"/>
      <c r="J101" s="14" t="s">
        <v>3324</v>
      </c>
    </row>
    <row r="102" customFormat="false" ht="14.5" hidden="false" customHeight="false" outlineLevel="0" collapsed="false">
      <c r="A102" s="14" t="n">
        <v>131</v>
      </c>
      <c r="B102" s="14" t="n">
        <v>1</v>
      </c>
      <c r="C102" s="14" t="n">
        <v>2</v>
      </c>
      <c r="D102" s="14" t="str">
        <f aca="false">VLOOKUP(Table123[[#This Row],[ID]], riskBugs!A:I, 9, 0)</f>
        <v> https://code4rena.com/reports/2022-05-backd#h-02-total-supply-is-not-guaranteed-and-is-not-deterministic</v>
      </c>
      <c r="E102" s="14" t="str">
        <f aca="false">VLOOKUP(Table123[[#This Row],[ID]], riskBugs!A:I, 6, 0)</f>
        <v>Minter.sol</v>
      </c>
      <c r="F102" s="14" t="s">
        <v>3374</v>
      </c>
      <c r="G102" s="14" t="s">
        <v>3326</v>
      </c>
      <c r="H102" s="14" t="s">
        <v>3375</v>
      </c>
      <c r="I102" s="14" t="s">
        <v>3350</v>
      </c>
      <c r="J102" s="14" t="s">
        <v>3327</v>
      </c>
    </row>
    <row r="103" customFormat="false" ht="14.5" hidden="false" customHeight="false" outlineLevel="0" collapsed="false">
      <c r="A103" s="14" t="n">
        <v>131</v>
      </c>
      <c r="B103" s="14" t="n">
        <v>1</v>
      </c>
      <c r="C103" s="14" t="n">
        <v>3</v>
      </c>
      <c r="D103" s="14" t="str">
        <f aca="false">VLOOKUP(Table123[[#This Row],[ID]], riskBugs!A:I, 9, 0)</f>
        <v> https://code4rena.com/reports/2022-05-backd#h-02-total-supply-is-not-guaranteed-and-is-not-deterministic</v>
      </c>
      <c r="E103" s="14" t="str">
        <f aca="false">VLOOKUP(Table123[[#This Row],[ID]], riskBugs!A:I, 6, 0)</f>
        <v>Minter.sol</v>
      </c>
      <c r="F103" s="14" t="s">
        <v>3332</v>
      </c>
      <c r="G103" s="14" t="s">
        <v>3329</v>
      </c>
      <c r="H103" s="14" t="s">
        <v>3376</v>
      </c>
      <c r="I103" s="14"/>
      <c r="J103" s="14" t="s">
        <v>3330</v>
      </c>
    </row>
    <row r="104" customFormat="false" ht="14.5" hidden="false" customHeight="false" outlineLevel="0" collapsed="false">
      <c r="A104" s="14" t="n">
        <v>131</v>
      </c>
      <c r="B104" s="14" t="n">
        <v>2</v>
      </c>
      <c r="C104" s="14" t="n">
        <v>3</v>
      </c>
      <c r="D104" s="14" t="str">
        <f aca="false">VLOOKUP(Table123[[#This Row],[ID]], riskBugs!A:I, 9, 0)</f>
        <v> https://code4rena.com/reports/2022-05-backd#h-02-total-supply-is-not-guaranteed-and-is-not-deterministic</v>
      </c>
      <c r="E104" s="14" t="str">
        <f aca="false">VLOOKUP(Table123[[#This Row],[ID]], riskBugs!A:I, 6, 0)</f>
        <v>Minter.sol</v>
      </c>
      <c r="F104" s="14" t="s">
        <v>3332</v>
      </c>
      <c r="G104" s="14" t="s">
        <v>3099</v>
      </c>
      <c r="H104" s="14" t="s">
        <v>2033</v>
      </c>
      <c r="I104" s="14"/>
      <c r="J104" s="14" t="s">
        <v>3333</v>
      </c>
    </row>
    <row r="105" customFormat="false" ht="14.5" hidden="false" customHeight="false" outlineLevel="0" collapsed="false">
      <c r="A105" s="14" t="n">
        <v>131</v>
      </c>
      <c r="B105" s="14" t="n">
        <v>3</v>
      </c>
      <c r="C105" s="14" t="n">
        <v>3</v>
      </c>
      <c r="D105" s="14" t="str">
        <f aca="false">VLOOKUP(Table123[[#This Row],[ID]], riskBugs!A:I, 9, 0)</f>
        <v> https://code4rena.com/reports/2022-05-backd#h-02-total-supply-is-not-guaranteed-and-is-not-deterministic</v>
      </c>
      <c r="E105" s="14" t="str">
        <f aca="false">VLOOKUP(Table123[[#This Row],[ID]], riskBugs!A:I, 6, 0)</f>
        <v>Minter.sol</v>
      </c>
      <c r="F105" s="14" t="s">
        <v>3335</v>
      </c>
      <c r="G105" s="14" t="s">
        <v>3189</v>
      </c>
      <c r="H105" s="14" t="s">
        <v>2033</v>
      </c>
      <c r="I105" s="14"/>
      <c r="J105" s="14" t="s">
        <v>3336</v>
      </c>
    </row>
    <row r="106" customFormat="false" ht="14.5" hidden="false" customHeight="false" outlineLevel="0" collapsed="false">
      <c r="A106" s="14" t="n">
        <v>190</v>
      </c>
      <c r="B106" s="14" t="n">
        <v>1</v>
      </c>
      <c r="C106" s="14" t="n">
        <v>1</v>
      </c>
      <c r="D106" s="14" t="str">
        <f aca="false">VLOOKUP(Table123[[#This Row],[ID]], riskBugs!A:I, 9, 0)</f>
        <v> https://code4rena.com/reports/2022-12-prepo#h-01-griefing--blocking--delaying-users-to-withdraw</v>
      </c>
      <c r="E106" s="14" t="str">
        <f aca="false">VLOOKUP(Table123[[#This Row],[ID]], riskBugs!A:I, 6, 0)</f>
        <v>WithdrawHook.sol</v>
      </c>
      <c r="F106" s="14" t="s">
        <v>3338</v>
      </c>
      <c r="G106" s="14" t="s">
        <v>3339</v>
      </c>
      <c r="H106" s="14" t="s">
        <v>2033</v>
      </c>
      <c r="I106" s="14"/>
      <c r="J106" s="14" t="s">
        <v>3340</v>
      </c>
    </row>
  </sheetData>
  <hyperlinks>
    <hyperlink ref="I4" r:id="rId1" location="m-13-init-function-can-be-called-by-everyone" display="https://code4rena.com/reports/2021-04-vader/#m-13-init-function-can-be-called-by-everyone"/>
    <hyperlink ref="I17" r:id="rId2" location="l-34-attacker-can-trigger-pool-sync-leading-to-user-fund-loss" display="https://code4rena.com/reports/2021-07-spartan/#l-34-attacker-can-trigger-pool-sync-leading-to-user-fund-loss"/>
    <hyperlink ref="I29" r:id="rId3" location="h-02-wrong-usage-of-positionid-in-concentratedliquiditypoolmanager" display="https://code4rena.com/reports/2021-09-sushitrident-2/#h-02-wrong-usage-of-positionid-in-concentratedliquiditypoolmanager"/>
    <hyperlink ref="I56" r:id="rId4" location="m-21-vaderpoolv2rescue-results-in-loss-of-funds-rather-than-recoverability" display="https://code4rena.com/reports/2021-11-vader/#m-21-vaderpoolv2rescue-results-in-loss-of-funds-rather-than-recoverability"/>
    <hyperlink ref="I70" r:id="rId5" location="m-27-slippage-checks-when-adding-liquidity-are-too-strict" display="https://code4rena.com/reports/2021-11-malt/#m-27-slippage-checks-when-adding-liquidity-are-too-strict"/>
    <hyperlink ref="I83" r:id="rId6" location="h-03-double-transfer-in-the-transferandcall-function-of-erc677" display="https://code4rena.com/reports/2022-01-behodler/#h-03-double-transfer-in-the-transferandcall-function-of-erc677"/>
  </hyperlink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7"/>
  </tableParts>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2023-05-09T08:16:59Z</dcterms:created>
  <dc:creator/>
  <dc:description/>
  <dc:language>en-SG</dc:language>
  <cp:lastModifiedBy/>
  <dcterms:modified xsi:type="dcterms:W3CDTF">2023-05-27T00:25:51Z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